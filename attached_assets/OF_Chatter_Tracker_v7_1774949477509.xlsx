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ulse\Downloads\"/>
    </mc:Choice>
  </mc:AlternateContent>
  <xr:revisionPtr revIDLastSave="0" documentId="13_ncr:1_{655672C3-D8E5-4110-A884-E94129CE8412}" xr6:coauthVersionLast="47" xr6:coauthVersionMax="47" xr10:uidLastSave="{00000000-0000-0000-0000-000000000000}"/>
  <bookViews>
    <workbookView xWindow="7605" yWindow="0" windowWidth="21600" windowHeight="11295" tabRatio="500" activeTab="3" xr2:uid="{00000000-000D-0000-FFFF-FFFF00000000}"/>
  </bookViews>
  <sheets>
    <sheet name="📊 Summary" sheetId="1" r:id="rId1"/>
    <sheet name="Jan 2026" sheetId="2" r:id="rId2"/>
    <sheet name="Feb 2026" sheetId="3" r:id="rId3"/>
    <sheet name="Mar 2026" sheetId="4" r:id="rId4"/>
    <sheet name="Apr 2026" sheetId="5" r:id="rId5"/>
    <sheet name="May 2026" sheetId="6" r:id="rId6"/>
    <sheet name="Jun 2026" sheetId="7" r:id="rId7"/>
    <sheet name="Jul 2026" sheetId="8" r:id="rId8"/>
    <sheet name="Aug 2026" sheetId="9" r:id="rId9"/>
    <sheet name="Sep 2026" sheetId="10" r:id="rId10"/>
    <sheet name="Oct 2026" sheetId="11" r:id="rId11"/>
    <sheet name="Nov 2026" sheetId="12" r:id="rId12"/>
    <sheet name="Dec 2026" sheetId="13" r:id="rId13"/>
    <sheet name="Jan 2027" sheetId="14" r:id="rId14"/>
    <sheet name="Feb 2027" sheetId="15" r:id="rId15"/>
    <sheet name="Mar 2027" sheetId="16" r:id="rId16"/>
    <sheet name="Apr 2027" sheetId="17" r:id="rId17"/>
    <sheet name="May 2027" sheetId="18" r:id="rId18"/>
    <sheet name="Jun 2027" sheetId="19" r:id="rId19"/>
    <sheet name="Jul 2027" sheetId="20" r:id="rId20"/>
    <sheet name="Aug 2027" sheetId="21" r:id="rId21"/>
    <sheet name="Sep 2027" sheetId="22" r:id="rId22"/>
    <sheet name="Oct 2027" sheetId="23" r:id="rId23"/>
    <sheet name="Nov 2027" sheetId="24" r:id="rId24"/>
    <sheet name="Dec 2027" sheetId="25" r:id="rId2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8" i="25" l="1"/>
  <c r="A48" i="25"/>
  <c r="K42" i="25"/>
  <c r="J42" i="25"/>
  <c r="I42" i="25"/>
  <c r="H42" i="25"/>
  <c r="G42" i="25"/>
  <c r="F42" i="25"/>
  <c r="E42" i="25"/>
  <c r="C42" i="25"/>
  <c r="B42" i="25"/>
  <c r="A42" i="25"/>
  <c r="K41" i="25"/>
  <c r="J41" i="25"/>
  <c r="I41" i="25"/>
  <c r="H41" i="25"/>
  <c r="G41" i="25"/>
  <c r="F41" i="25"/>
  <c r="E41" i="25"/>
  <c r="C41" i="25"/>
  <c r="B41" i="25"/>
  <c r="A41" i="25"/>
  <c r="F40" i="25"/>
  <c r="G40" i="25" s="1"/>
  <c r="E40" i="25"/>
  <c r="B40" i="25"/>
  <c r="C40" i="25" s="1"/>
  <c r="A40" i="25"/>
  <c r="K39" i="25"/>
  <c r="J39" i="25"/>
  <c r="I39" i="25"/>
  <c r="H39" i="25"/>
  <c r="G39" i="25"/>
  <c r="F39" i="25"/>
  <c r="E39" i="25"/>
  <c r="B39" i="25"/>
  <c r="C39" i="25" s="1"/>
  <c r="A39" i="25"/>
  <c r="F38" i="25"/>
  <c r="G38" i="25" s="1"/>
  <c r="E38" i="25"/>
  <c r="B38" i="25"/>
  <c r="C38" i="25" s="1"/>
  <c r="A38" i="25"/>
  <c r="F37" i="25"/>
  <c r="G37" i="25" s="1"/>
  <c r="E37" i="25"/>
  <c r="B37" i="25"/>
  <c r="C37" i="25" s="1"/>
  <c r="A37" i="25"/>
  <c r="G36" i="25"/>
  <c r="F36" i="25"/>
  <c r="E36" i="25"/>
  <c r="B36" i="25"/>
  <c r="C36" i="25" s="1"/>
  <c r="A36" i="25"/>
  <c r="G35" i="25"/>
  <c r="F35" i="25"/>
  <c r="E35" i="25"/>
  <c r="B35" i="25"/>
  <c r="C35" i="25" s="1"/>
  <c r="A35" i="25"/>
  <c r="F34" i="25"/>
  <c r="G34" i="25" s="1"/>
  <c r="E34" i="25"/>
  <c r="B34" i="25"/>
  <c r="C34" i="25" s="1"/>
  <c r="A34" i="25"/>
  <c r="G33" i="25"/>
  <c r="F33" i="25"/>
  <c r="E33" i="25"/>
  <c r="B33" i="25"/>
  <c r="C33" i="25" s="1"/>
  <c r="A33" i="25"/>
  <c r="K32" i="25"/>
  <c r="J32" i="25"/>
  <c r="I32" i="25"/>
  <c r="H32" i="25"/>
  <c r="G32" i="25"/>
  <c r="F32" i="25"/>
  <c r="E32" i="25"/>
  <c r="B32" i="25"/>
  <c r="C32" i="25" s="1"/>
  <c r="A32" i="25"/>
  <c r="F31" i="25"/>
  <c r="G31" i="25" s="1"/>
  <c r="E31" i="25"/>
  <c r="B31" i="25"/>
  <c r="C31" i="25" s="1"/>
  <c r="A31" i="25"/>
  <c r="F30" i="25"/>
  <c r="G30" i="25" s="1"/>
  <c r="E30" i="25"/>
  <c r="B30" i="25"/>
  <c r="C30" i="25" s="1"/>
  <c r="A30" i="25"/>
  <c r="G29" i="25"/>
  <c r="F29" i="25"/>
  <c r="E29" i="25"/>
  <c r="B29" i="25"/>
  <c r="C29" i="25" s="1"/>
  <c r="A29" i="25"/>
  <c r="G28" i="25"/>
  <c r="F28" i="25"/>
  <c r="E28" i="25"/>
  <c r="B28" i="25"/>
  <c r="C28" i="25" s="1"/>
  <c r="A28" i="25"/>
  <c r="F27" i="25"/>
  <c r="G27" i="25" s="1"/>
  <c r="E27" i="25"/>
  <c r="B27" i="25"/>
  <c r="C27" i="25" s="1"/>
  <c r="A27" i="25"/>
  <c r="F26" i="25"/>
  <c r="G26" i="25" s="1"/>
  <c r="E26" i="25"/>
  <c r="B26" i="25"/>
  <c r="C26" i="25" s="1"/>
  <c r="A26" i="25"/>
  <c r="K25" i="25"/>
  <c r="J25" i="25"/>
  <c r="I25" i="25"/>
  <c r="H25" i="25"/>
  <c r="G25" i="25"/>
  <c r="F25" i="25"/>
  <c r="E25" i="25"/>
  <c r="B25" i="25"/>
  <c r="C25" i="25" s="1"/>
  <c r="A25" i="25"/>
  <c r="F24" i="25"/>
  <c r="G24" i="25" s="1"/>
  <c r="E24" i="25"/>
  <c r="B24" i="25"/>
  <c r="C24" i="25" s="1"/>
  <c r="A24" i="25"/>
  <c r="F23" i="25"/>
  <c r="G23" i="25" s="1"/>
  <c r="E23" i="25"/>
  <c r="B23" i="25"/>
  <c r="C23" i="25" s="1"/>
  <c r="A23" i="25"/>
  <c r="F22" i="25"/>
  <c r="G22" i="25" s="1"/>
  <c r="E22" i="25"/>
  <c r="B22" i="25"/>
  <c r="C22" i="25" s="1"/>
  <c r="A22" i="25"/>
  <c r="F21" i="25"/>
  <c r="G21" i="25" s="1"/>
  <c r="E21" i="25"/>
  <c r="B21" i="25"/>
  <c r="C21" i="25" s="1"/>
  <c r="A21" i="25"/>
  <c r="F20" i="25"/>
  <c r="G20" i="25" s="1"/>
  <c r="E20" i="25"/>
  <c r="B20" i="25"/>
  <c r="C20" i="25" s="1"/>
  <c r="A20" i="25"/>
  <c r="F19" i="25"/>
  <c r="G19" i="25" s="1"/>
  <c r="E19" i="25"/>
  <c r="B19" i="25"/>
  <c r="C19" i="25" s="1"/>
  <c r="A19" i="25"/>
  <c r="K18" i="25"/>
  <c r="J18" i="25"/>
  <c r="I18" i="25"/>
  <c r="H18" i="25"/>
  <c r="G18" i="25"/>
  <c r="F18" i="25"/>
  <c r="E18" i="25"/>
  <c r="B18" i="25"/>
  <c r="C18" i="25" s="1"/>
  <c r="A18" i="25"/>
  <c r="F17" i="25"/>
  <c r="G17" i="25" s="1"/>
  <c r="E17" i="25"/>
  <c r="B17" i="25"/>
  <c r="C17" i="25" s="1"/>
  <c r="A17" i="25"/>
  <c r="G16" i="25"/>
  <c r="F16" i="25"/>
  <c r="E16" i="25"/>
  <c r="B16" i="25"/>
  <c r="C16" i="25" s="1"/>
  <c r="A16" i="25"/>
  <c r="F15" i="25"/>
  <c r="G15" i="25" s="1"/>
  <c r="E15" i="25"/>
  <c r="B15" i="25"/>
  <c r="C15" i="25" s="1"/>
  <c r="A15" i="25"/>
  <c r="F14" i="25"/>
  <c r="G14" i="25" s="1"/>
  <c r="E14" i="25"/>
  <c r="B14" i="25"/>
  <c r="C14" i="25" s="1"/>
  <c r="A14" i="25"/>
  <c r="G13" i="25"/>
  <c r="F13" i="25"/>
  <c r="E13" i="25"/>
  <c r="B13" i="25"/>
  <c r="C13" i="25" s="1"/>
  <c r="A13" i="25"/>
  <c r="F12" i="25"/>
  <c r="G12" i="25" s="1"/>
  <c r="E12" i="25"/>
  <c r="B12" i="25"/>
  <c r="C12" i="25" s="1"/>
  <c r="A12" i="25"/>
  <c r="K11" i="25"/>
  <c r="J11" i="25"/>
  <c r="I11" i="25"/>
  <c r="H11" i="25"/>
  <c r="G11" i="25"/>
  <c r="F11" i="25"/>
  <c r="E11" i="25"/>
  <c r="B11" i="25"/>
  <c r="C11" i="25" s="1"/>
  <c r="A11" i="25"/>
  <c r="F10" i="25"/>
  <c r="G10" i="25" s="1"/>
  <c r="E10" i="25"/>
  <c r="B10" i="25"/>
  <c r="C10" i="25" s="1"/>
  <c r="L5" i="25" s="1"/>
  <c r="A10" i="25"/>
  <c r="K9" i="25"/>
  <c r="J9" i="25"/>
  <c r="I9" i="25"/>
  <c r="H9" i="25"/>
  <c r="G9" i="25"/>
  <c r="F9" i="25"/>
  <c r="E9" i="25"/>
  <c r="C9" i="25"/>
  <c r="B9" i="25"/>
  <c r="A9" i="25"/>
  <c r="K8" i="25"/>
  <c r="J8" i="25"/>
  <c r="I8" i="25"/>
  <c r="H8" i="25"/>
  <c r="G8" i="25"/>
  <c r="F8" i="25"/>
  <c r="E8" i="25"/>
  <c r="E6" i="25" s="1"/>
  <c r="C8" i="25"/>
  <c r="B8" i="25"/>
  <c r="A8" i="25"/>
  <c r="D6" i="25"/>
  <c r="E5" i="25"/>
  <c r="D5" i="25"/>
  <c r="A2" i="25"/>
  <c r="L48" i="24"/>
  <c r="A48" i="24"/>
  <c r="K42" i="24"/>
  <c r="J42" i="24"/>
  <c r="I42" i="24"/>
  <c r="H42" i="24"/>
  <c r="G42" i="24"/>
  <c r="F42" i="24"/>
  <c r="E42" i="24"/>
  <c r="C42" i="24"/>
  <c r="B42" i="24"/>
  <c r="A42" i="24"/>
  <c r="K41" i="24"/>
  <c r="J41" i="24"/>
  <c r="I41" i="24"/>
  <c r="H41" i="24"/>
  <c r="G41" i="24"/>
  <c r="F41" i="24"/>
  <c r="E41" i="24"/>
  <c r="C41" i="24"/>
  <c r="B41" i="24"/>
  <c r="A41" i="24"/>
  <c r="K40" i="24"/>
  <c r="J40" i="24"/>
  <c r="I40" i="24"/>
  <c r="H40" i="24"/>
  <c r="G40" i="24"/>
  <c r="F40" i="24"/>
  <c r="E40" i="24"/>
  <c r="C40" i="24"/>
  <c r="B40" i="24"/>
  <c r="A40" i="24"/>
  <c r="K39" i="24"/>
  <c r="J39" i="24"/>
  <c r="I39" i="24"/>
  <c r="H39" i="24"/>
  <c r="G39" i="24"/>
  <c r="F39" i="24"/>
  <c r="E39" i="24"/>
  <c r="C39" i="24"/>
  <c r="B39" i="24"/>
  <c r="A39" i="24"/>
  <c r="K38" i="24"/>
  <c r="J38" i="24"/>
  <c r="I38" i="24"/>
  <c r="H38" i="24"/>
  <c r="G38" i="24"/>
  <c r="F38" i="24"/>
  <c r="E38" i="24"/>
  <c r="C38" i="24"/>
  <c r="B38" i="24"/>
  <c r="A38" i="24"/>
  <c r="F37" i="24"/>
  <c r="G37" i="24" s="1"/>
  <c r="E37" i="24"/>
  <c r="B37" i="24"/>
  <c r="C37" i="24" s="1"/>
  <c r="A37" i="24"/>
  <c r="G36" i="24"/>
  <c r="F36" i="24"/>
  <c r="E36" i="24"/>
  <c r="B36" i="24"/>
  <c r="C36" i="24" s="1"/>
  <c r="A36" i="24"/>
  <c r="F35" i="24"/>
  <c r="G35" i="24" s="1"/>
  <c r="E35" i="24"/>
  <c r="B35" i="24"/>
  <c r="C35" i="24" s="1"/>
  <c r="A35" i="24"/>
  <c r="F34" i="24"/>
  <c r="G34" i="24" s="1"/>
  <c r="E34" i="24"/>
  <c r="B34" i="24"/>
  <c r="C34" i="24" s="1"/>
  <c r="A34" i="24"/>
  <c r="F33" i="24"/>
  <c r="G33" i="24" s="1"/>
  <c r="E33" i="24"/>
  <c r="B33" i="24"/>
  <c r="C33" i="24" s="1"/>
  <c r="A33" i="24"/>
  <c r="K32" i="24"/>
  <c r="J32" i="24"/>
  <c r="I32" i="24"/>
  <c r="H32" i="24"/>
  <c r="G32" i="24"/>
  <c r="F32" i="24"/>
  <c r="E32" i="24"/>
  <c r="B32" i="24"/>
  <c r="C32" i="24" s="1"/>
  <c r="A32" i="24"/>
  <c r="F31" i="24"/>
  <c r="G31" i="24" s="1"/>
  <c r="E31" i="24"/>
  <c r="B31" i="24"/>
  <c r="C31" i="24" s="1"/>
  <c r="A31" i="24"/>
  <c r="F30" i="24"/>
  <c r="G30" i="24" s="1"/>
  <c r="E30" i="24"/>
  <c r="B30" i="24"/>
  <c r="C30" i="24" s="1"/>
  <c r="A30" i="24"/>
  <c r="F29" i="24"/>
  <c r="G29" i="24" s="1"/>
  <c r="E29" i="24"/>
  <c r="B29" i="24"/>
  <c r="C29" i="24" s="1"/>
  <c r="A29" i="24"/>
  <c r="F28" i="24"/>
  <c r="G28" i="24" s="1"/>
  <c r="E28" i="24"/>
  <c r="B28" i="24"/>
  <c r="C28" i="24" s="1"/>
  <c r="A28" i="24"/>
  <c r="F27" i="24"/>
  <c r="G27" i="24" s="1"/>
  <c r="E27" i="24"/>
  <c r="B27" i="24"/>
  <c r="C27" i="24" s="1"/>
  <c r="A27" i="24"/>
  <c r="G26" i="24"/>
  <c r="F26" i="24"/>
  <c r="E26" i="24"/>
  <c r="B26" i="24"/>
  <c r="C26" i="24" s="1"/>
  <c r="A26" i="24"/>
  <c r="K25" i="24"/>
  <c r="J25" i="24"/>
  <c r="I25" i="24"/>
  <c r="H25" i="24"/>
  <c r="G25" i="24"/>
  <c r="F25" i="24"/>
  <c r="E25" i="24"/>
  <c r="B25" i="24"/>
  <c r="C25" i="24" s="1"/>
  <c r="A25" i="24"/>
  <c r="F24" i="24"/>
  <c r="G24" i="24" s="1"/>
  <c r="E24" i="24"/>
  <c r="B24" i="24"/>
  <c r="C24" i="24" s="1"/>
  <c r="A24" i="24"/>
  <c r="F23" i="24"/>
  <c r="G23" i="24" s="1"/>
  <c r="E23" i="24"/>
  <c r="B23" i="24"/>
  <c r="C23" i="24" s="1"/>
  <c r="A23" i="24"/>
  <c r="F22" i="24"/>
  <c r="G22" i="24" s="1"/>
  <c r="E22" i="24"/>
  <c r="B22" i="24"/>
  <c r="C22" i="24" s="1"/>
  <c r="A22" i="24"/>
  <c r="F21" i="24"/>
  <c r="G21" i="24" s="1"/>
  <c r="E21" i="24"/>
  <c r="B21" i="24"/>
  <c r="C21" i="24" s="1"/>
  <c r="A21" i="24"/>
  <c r="F20" i="24"/>
  <c r="G20" i="24" s="1"/>
  <c r="E20" i="24"/>
  <c r="B20" i="24"/>
  <c r="C20" i="24" s="1"/>
  <c r="A20" i="24"/>
  <c r="F19" i="24"/>
  <c r="G19" i="24" s="1"/>
  <c r="E19" i="24"/>
  <c r="B19" i="24"/>
  <c r="C19" i="24" s="1"/>
  <c r="A19" i="24"/>
  <c r="K18" i="24"/>
  <c r="J18" i="24"/>
  <c r="I18" i="24"/>
  <c r="H18" i="24"/>
  <c r="G18" i="24"/>
  <c r="F18" i="24"/>
  <c r="E18" i="24"/>
  <c r="B18" i="24"/>
  <c r="C18" i="24" s="1"/>
  <c r="A18" i="24"/>
  <c r="F17" i="24"/>
  <c r="G17" i="24" s="1"/>
  <c r="E17" i="24"/>
  <c r="B17" i="24"/>
  <c r="C17" i="24" s="1"/>
  <c r="A17" i="24"/>
  <c r="F16" i="24"/>
  <c r="G16" i="24" s="1"/>
  <c r="E16" i="24"/>
  <c r="B16" i="24"/>
  <c r="C16" i="24" s="1"/>
  <c r="A16" i="24"/>
  <c r="F15" i="24"/>
  <c r="G15" i="24" s="1"/>
  <c r="E15" i="24"/>
  <c r="B15" i="24"/>
  <c r="C15" i="24" s="1"/>
  <c r="A15" i="24"/>
  <c r="F14" i="24"/>
  <c r="G14" i="24" s="1"/>
  <c r="E14" i="24"/>
  <c r="B14" i="24"/>
  <c r="C14" i="24" s="1"/>
  <c r="A14" i="24"/>
  <c r="F13" i="24"/>
  <c r="G13" i="24" s="1"/>
  <c r="E13" i="24"/>
  <c r="B13" i="24"/>
  <c r="C13" i="24" s="1"/>
  <c r="A13" i="24"/>
  <c r="F12" i="24"/>
  <c r="G12" i="24" s="1"/>
  <c r="E12" i="24"/>
  <c r="B12" i="24"/>
  <c r="C12" i="24" s="1"/>
  <c r="A12" i="24"/>
  <c r="K11" i="24"/>
  <c r="J11" i="24"/>
  <c r="I11" i="24"/>
  <c r="H11" i="24"/>
  <c r="G11" i="24"/>
  <c r="F11" i="24"/>
  <c r="E11" i="24"/>
  <c r="B11" i="24"/>
  <c r="C11" i="24" s="1"/>
  <c r="A11" i="24"/>
  <c r="F10" i="24"/>
  <c r="G10" i="24" s="1"/>
  <c r="E10" i="24"/>
  <c r="B10" i="24"/>
  <c r="C10" i="24" s="1"/>
  <c r="A10" i="24"/>
  <c r="F9" i="24"/>
  <c r="G9" i="24" s="1"/>
  <c r="E9" i="24"/>
  <c r="B9" i="24"/>
  <c r="C9" i="24" s="1"/>
  <c r="A9" i="24"/>
  <c r="F8" i="24"/>
  <c r="G8" i="24" s="1"/>
  <c r="E8" i="24"/>
  <c r="B8" i="24"/>
  <c r="C8" i="24" s="1"/>
  <c r="A8" i="24"/>
  <c r="D6" i="24"/>
  <c r="E5" i="24"/>
  <c r="D5" i="24"/>
  <c r="A2" i="24"/>
  <c r="L48" i="23"/>
  <c r="A48" i="23"/>
  <c r="F42" i="23"/>
  <c r="G42" i="23" s="1"/>
  <c r="E42" i="23"/>
  <c r="B42" i="23"/>
  <c r="C42" i="23" s="1"/>
  <c r="A42" i="23"/>
  <c r="F41" i="23"/>
  <c r="G41" i="23" s="1"/>
  <c r="E41" i="23"/>
  <c r="B41" i="23"/>
  <c r="C41" i="23" s="1"/>
  <c r="A41" i="23"/>
  <c r="G40" i="23"/>
  <c r="F40" i="23"/>
  <c r="E40" i="23"/>
  <c r="B40" i="23"/>
  <c r="C40" i="23" s="1"/>
  <c r="A40" i="23"/>
  <c r="K39" i="23"/>
  <c r="J39" i="23"/>
  <c r="I39" i="23"/>
  <c r="H39" i="23"/>
  <c r="G39" i="23"/>
  <c r="F39" i="23"/>
  <c r="E39" i="23"/>
  <c r="B39" i="23"/>
  <c r="C39" i="23" s="1"/>
  <c r="A39" i="23"/>
  <c r="F38" i="23"/>
  <c r="G38" i="23" s="1"/>
  <c r="E38" i="23"/>
  <c r="B38" i="23"/>
  <c r="C38" i="23" s="1"/>
  <c r="A38" i="23"/>
  <c r="F37" i="23"/>
  <c r="G37" i="23" s="1"/>
  <c r="E37" i="23"/>
  <c r="B37" i="23"/>
  <c r="C37" i="23" s="1"/>
  <c r="A37" i="23"/>
  <c r="F36" i="23"/>
  <c r="G36" i="23" s="1"/>
  <c r="E36" i="23"/>
  <c r="B36" i="23"/>
  <c r="C36" i="23" s="1"/>
  <c r="A36" i="23"/>
  <c r="F35" i="23"/>
  <c r="G35" i="23" s="1"/>
  <c r="E35" i="23"/>
  <c r="B35" i="23"/>
  <c r="C35" i="23" s="1"/>
  <c r="A35" i="23"/>
  <c r="G34" i="23"/>
  <c r="F34" i="23"/>
  <c r="E34" i="23"/>
  <c r="B34" i="23"/>
  <c r="C34" i="23" s="1"/>
  <c r="A34" i="23"/>
  <c r="F33" i="23"/>
  <c r="G33" i="23" s="1"/>
  <c r="E33" i="23"/>
  <c r="B33" i="23"/>
  <c r="C33" i="23" s="1"/>
  <c r="A33" i="23"/>
  <c r="K32" i="23"/>
  <c r="J32" i="23"/>
  <c r="I32" i="23"/>
  <c r="H32" i="23"/>
  <c r="G32" i="23"/>
  <c r="F32" i="23"/>
  <c r="E32" i="23"/>
  <c r="B32" i="23"/>
  <c r="C32" i="23" s="1"/>
  <c r="A32" i="23"/>
  <c r="F31" i="23"/>
  <c r="G31" i="23" s="1"/>
  <c r="E31" i="23"/>
  <c r="B31" i="23"/>
  <c r="C31" i="23" s="1"/>
  <c r="A31" i="23"/>
  <c r="F30" i="23"/>
  <c r="G30" i="23" s="1"/>
  <c r="E30" i="23"/>
  <c r="B30" i="23"/>
  <c r="C30" i="23" s="1"/>
  <c r="A30" i="23"/>
  <c r="F29" i="23"/>
  <c r="G29" i="23" s="1"/>
  <c r="E29" i="23"/>
  <c r="B29" i="23"/>
  <c r="C29" i="23" s="1"/>
  <c r="A29" i="23"/>
  <c r="F28" i="23"/>
  <c r="G28" i="23" s="1"/>
  <c r="E28" i="23"/>
  <c r="B28" i="23"/>
  <c r="C28" i="23" s="1"/>
  <c r="A28" i="23"/>
  <c r="F27" i="23"/>
  <c r="G27" i="23" s="1"/>
  <c r="E27" i="23"/>
  <c r="B27" i="23"/>
  <c r="C27" i="23" s="1"/>
  <c r="A27" i="23"/>
  <c r="G26" i="23"/>
  <c r="F26" i="23"/>
  <c r="E26" i="23"/>
  <c r="B26" i="23"/>
  <c r="C26" i="23" s="1"/>
  <c r="A26" i="23"/>
  <c r="K25" i="23"/>
  <c r="J25" i="23"/>
  <c r="I25" i="23"/>
  <c r="H25" i="23"/>
  <c r="G25" i="23"/>
  <c r="F25" i="23"/>
  <c r="E25" i="23"/>
  <c r="B25" i="23"/>
  <c r="C25" i="23" s="1"/>
  <c r="A25" i="23"/>
  <c r="F24" i="23"/>
  <c r="G24" i="23" s="1"/>
  <c r="E24" i="23"/>
  <c r="B24" i="23"/>
  <c r="C24" i="23" s="1"/>
  <c r="A24" i="23"/>
  <c r="F23" i="23"/>
  <c r="G23" i="23" s="1"/>
  <c r="E23" i="23"/>
  <c r="B23" i="23"/>
  <c r="C23" i="23" s="1"/>
  <c r="A23" i="23"/>
  <c r="F22" i="23"/>
  <c r="G22" i="23" s="1"/>
  <c r="E22" i="23"/>
  <c r="B22" i="23"/>
  <c r="C22" i="23" s="1"/>
  <c r="A22" i="23"/>
  <c r="F21" i="23"/>
  <c r="G21" i="23" s="1"/>
  <c r="E21" i="23"/>
  <c r="B21" i="23"/>
  <c r="C21" i="23" s="1"/>
  <c r="A21" i="23"/>
  <c r="F20" i="23"/>
  <c r="G20" i="23" s="1"/>
  <c r="E20" i="23"/>
  <c r="B20" i="23"/>
  <c r="C20" i="23" s="1"/>
  <c r="A20" i="23"/>
  <c r="F19" i="23"/>
  <c r="G19" i="23" s="1"/>
  <c r="E19" i="23"/>
  <c r="B19" i="23"/>
  <c r="C19" i="23" s="1"/>
  <c r="A19" i="23"/>
  <c r="K18" i="23"/>
  <c r="J18" i="23"/>
  <c r="I18" i="23"/>
  <c r="H18" i="23"/>
  <c r="G18" i="23"/>
  <c r="F18" i="23"/>
  <c r="E18" i="23"/>
  <c r="B18" i="23"/>
  <c r="C18" i="23" s="1"/>
  <c r="A18" i="23"/>
  <c r="F17" i="23"/>
  <c r="G17" i="23" s="1"/>
  <c r="E17" i="23"/>
  <c r="B17" i="23"/>
  <c r="C17" i="23" s="1"/>
  <c r="A17" i="23"/>
  <c r="F16" i="23"/>
  <c r="G16" i="23" s="1"/>
  <c r="E16" i="23"/>
  <c r="B16" i="23"/>
  <c r="C16" i="23" s="1"/>
  <c r="A16" i="23"/>
  <c r="F15" i="23"/>
  <c r="G15" i="23" s="1"/>
  <c r="E15" i="23"/>
  <c r="B15" i="23"/>
  <c r="C15" i="23" s="1"/>
  <c r="A15" i="23"/>
  <c r="F14" i="23"/>
  <c r="G14" i="23" s="1"/>
  <c r="E14" i="23"/>
  <c r="B14" i="23"/>
  <c r="C14" i="23" s="1"/>
  <c r="A14" i="23"/>
  <c r="F13" i="23"/>
  <c r="G13" i="23" s="1"/>
  <c r="E13" i="23"/>
  <c r="B13" i="23"/>
  <c r="C13" i="23" s="1"/>
  <c r="A13" i="23"/>
  <c r="F12" i="23"/>
  <c r="G12" i="23" s="1"/>
  <c r="E12" i="23"/>
  <c r="B12" i="23"/>
  <c r="C12" i="23" s="1"/>
  <c r="L5" i="23" s="1"/>
  <c r="A12" i="23"/>
  <c r="K11" i="23"/>
  <c r="J11" i="23"/>
  <c r="I11" i="23"/>
  <c r="H11" i="23"/>
  <c r="G11" i="23"/>
  <c r="F11" i="23"/>
  <c r="E11" i="23"/>
  <c r="C11" i="23"/>
  <c r="B11" i="23"/>
  <c r="A11" i="23"/>
  <c r="K10" i="23"/>
  <c r="J10" i="23"/>
  <c r="I10" i="23"/>
  <c r="H10" i="23"/>
  <c r="G10" i="23"/>
  <c r="F10" i="23"/>
  <c r="E10" i="23"/>
  <c r="C10" i="23"/>
  <c r="B10" i="23"/>
  <c r="A10" i="23"/>
  <c r="K9" i="23"/>
  <c r="J9" i="23"/>
  <c r="I9" i="23"/>
  <c r="H9" i="23"/>
  <c r="G9" i="23"/>
  <c r="F9" i="23"/>
  <c r="E9" i="23"/>
  <c r="C9" i="23"/>
  <c r="B9" i="23"/>
  <c r="A9" i="23"/>
  <c r="K8" i="23"/>
  <c r="J8" i="23"/>
  <c r="I8" i="23"/>
  <c r="H8" i="23"/>
  <c r="G8" i="23"/>
  <c r="F8" i="23"/>
  <c r="E8" i="23"/>
  <c r="E6" i="23" s="1"/>
  <c r="C8" i="23"/>
  <c r="B8" i="23"/>
  <c r="A8" i="23"/>
  <c r="D6" i="23"/>
  <c r="E5" i="23"/>
  <c r="D5" i="23"/>
  <c r="A2" i="23"/>
  <c r="L48" i="22"/>
  <c r="J34" i="1" s="1"/>
  <c r="A48" i="22"/>
  <c r="K42" i="22"/>
  <c r="J42" i="22"/>
  <c r="I42" i="22"/>
  <c r="H42" i="22"/>
  <c r="G42" i="22"/>
  <c r="F42" i="22"/>
  <c r="E42" i="22"/>
  <c r="C42" i="22"/>
  <c r="B42" i="22"/>
  <c r="A42" i="22"/>
  <c r="K41" i="22"/>
  <c r="J41" i="22"/>
  <c r="I41" i="22"/>
  <c r="H41" i="22"/>
  <c r="G41" i="22"/>
  <c r="F41" i="22"/>
  <c r="E41" i="22"/>
  <c r="C41" i="22"/>
  <c r="B41" i="22"/>
  <c r="A41" i="22"/>
  <c r="K40" i="22"/>
  <c r="J40" i="22"/>
  <c r="I40" i="22"/>
  <c r="H40" i="22"/>
  <c r="G40" i="22"/>
  <c r="F40" i="22"/>
  <c r="E40" i="22"/>
  <c r="C40" i="22"/>
  <c r="B40" i="22"/>
  <c r="A40" i="22"/>
  <c r="K39" i="22"/>
  <c r="J39" i="22"/>
  <c r="I39" i="22"/>
  <c r="H39" i="22"/>
  <c r="G39" i="22"/>
  <c r="F39" i="22"/>
  <c r="E39" i="22"/>
  <c r="B39" i="22"/>
  <c r="C39" i="22" s="1"/>
  <c r="A39" i="22"/>
  <c r="F38" i="22"/>
  <c r="G38" i="22" s="1"/>
  <c r="E38" i="22"/>
  <c r="B38" i="22"/>
  <c r="C38" i="22" s="1"/>
  <c r="A38" i="22"/>
  <c r="F37" i="22"/>
  <c r="G37" i="22" s="1"/>
  <c r="E37" i="22"/>
  <c r="B37" i="22"/>
  <c r="C37" i="22" s="1"/>
  <c r="A37" i="22"/>
  <c r="F36" i="22"/>
  <c r="G36" i="22" s="1"/>
  <c r="E36" i="22"/>
  <c r="B36" i="22"/>
  <c r="C36" i="22" s="1"/>
  <c r="A36" i="22"/>
  <c r="F35" i="22"/>
  <c r="G35" i="22" s="1"/>
  <c r="E35" i="22"/>
  <c r="B35" i="22"/>
  <c r="C35" i="22" s="1"/>
  <c r="A35" i="22"/>
  <c r="F34" i="22"/>
  <c r="G34" i="22" s="1"/>
  <c r="E34" i="22"/>
  <c r="B34" i="22"/>
  <c r="C34" i="22" s="1"/>
  <c r="A34" i="22"/>
  <c r="F33" i="22"/>
  <c r="G33" i="22" s="1"/>
  <c r="E33" i="22"/>
  <c r="B33" i="22"/>
  <c r="C33" i="22" s="1"/>
  <c r="A33" i="22"/>
  <c r="K32" i="22"/>
  <c r="J32" i="22"/>
  <c r="I32" i="22"/>
  <c r="H32" i="22"/>
  <c r="G32" i="22"/>
  <c r="F32" i="22"/>
  <c r="E32" i="22"/>
  <c r="B32" i="22"/>
  <c r="C32" i="22" s="1"/>
  <c r="A32" i="22"/>
  <c r="F31" i="22"/>
  <c r="G31" i="22" s="1"/>
  <c r="E31" i="22"/>
  <c r="B31" i="22"/>
  <c r="C31" i="22" s="1"/>
  <c r="A31" i="22"/>
  <c r="F30" i="22"/>
  <c r="G30" i="22" s="1"/>
  <c r="E30" i="22"/>
  <c r="B30" i="22"/>
  <c r="C30" i="22" s="1"/>
  <c r="A30" i="22"/>
  <c r="F29" i="22"/>
  <c r="G29" i="22" s="1"/>
  <c r="E29" i="22"/>
  <c r="B29" i="22"/>
  <c r="C29" i="22" s="1"/>
  <c r="A29" i="22"/>
  <c r="F28" i="22"/>
  <c r="G28" i="22" s="1"/>
  <c r="E28" i="22"/>
  <c r="B28" i="22"/>
  <c r="C28" i="22" s="1"/>
  <c r="A28" i="22"/>
  <c r="F27" i="22"/>
  <c r="G27" i="22" s="1"/>
  <c r="E27" i="22"/>
  <c r="B27" i="22"/>
  <c r="C27" i="22" s="1"/>
  <c r="A27" i="22"/>
  <c r="F26" i="22"/>
  <c r="G26" i="22" s="1"/>
  <c r="E26" i="22"/>
  <c r="B26" i="22"/>
  <c r="C26" i="22" s="1"/>
  <c r="A26" i="22"/>
  <c r="K25" i="22"/>
  <c r="J25" i="22"/>
  <c r="I25" i="22"/>
  <c r="H25" i="22"/>
  <c r="G25" i="22"/>
  <c r="F25" i="22"/>
  <c r="E25" i="22"/>
  <c r="B25" i="22"/>
  <c r="C25" i="22" s="1"/>
  <c r="A25" i="22"/>
  <c r="F24" i="22"/>
  <c r="G24" i="22" s="1"/>
  <c r="E24" i="22"/>
  <c r="B24" i="22"/>
  <c r="C24" i="22" s="1"/>
  <c r="A24" i="22"/>
  <c r="F23" i="22"/>
  <c r="G23" i="22" s="1"/>
  <c r="E23" i="22"/>
  <c r="B23" i="22"/>
  <c r="C23" i="22" s="1"/>
  <c r="A23" i="22"/>
  <c r="F22" i="22"/>
  <c r="G22" i="22" s="1"/>
  <c r="E22" i="22"/>
  <c r="B22" i="22"/>
  <c r="C22" i="22" s="1"/>
  <c r="A22" i="22"/>
  <c r="F21" i="22"/>
  <c r="G21" i="22" s="1"/>
  <c r="E21" i="22"/>
  <c r="B21" i="22"/>
  <c r="C21" i="22" s="1"/>
  <c r="A21" i="22"/>
  <c r="F20" i="22"/>
  <c r="G20" i="22" s="1"/>
  <c r="E20" i="22"/>
  <c r="B20" i="22"/>
  <c r="C20" i="22" s="1"/>
  <c r="A20" i="22"/>
  <c r="F19" i="22"/>
  <c r="G19" i="22" s="1"/>
  <c r="E19" i="22"/>
  <c r="B19" i="22"/>
  <c r="C19" i="22" s="1"/>
  <c r="A19" i="22"/>
  <c r="K18" i="22"/>
  <c r="J18" i="22"/>
  <c r="I18" i="22"/>
  <c r="H18" i="22"/>
  <c r="G18" i="22"/>
  <c r="F18" i="22"/>
  <c r="E18" i="22"/>
  <c r="B18" i="22"/>
  <c r="C18" i="22" s="1"/>
  <c r="A18" i="22"/>
  <c r="F17" i="22"/>
  <c r="G17" i="22" s="1"/>
  <c r="E17" i="22"/>
  <c r="B17" i="22"/>
  <c r="C17" i="22" s="1"/>
  <c r="A17" i="22"/>
  <c r="F16" i="22"/>
  <c r="G16" i="22" s="1"/>
  <c r="E16" i="22"/>
  <c r="B16" i="22"/>
  <c r="C16" i="22" s="1"/>
  <c r="A16" i="22"/>
  <c r="F15" i="22"/>
  <c r="G15" i="22" s="1"/>
  <c r="E15" i="22"/>
  <c r="B15" i="22"/>
  <c r="C15" i="22" s="1"/>
  <c r="A15" i="22"/>
  <c r="F14" i="22"/>
  <c r="G14" i="22" s="1"/>
  <c r="E14" i="22"/>
  <c r="B14" i="22"/>
  <c r="C14" i="22" s="1"/>
  <c r="A14" i="22"/>
  <c r="F13" i="22"/>
  <c r="G13" i="22" s="1"/>
  <c r="E13" i="22"/>
  <c r="B13" i="22"/>
  <c r="C13" i="22" s="1"/>
  <c r="A13" i="22"/>
  <c r="F12" i="22"/>
  <c r="G12" i="22" s="1"/>
  <c r="E12" i="22"/>
  <c r="B12" i="22"/>
  <c r="C12" i="22" s="1"/>
  <c r="A12" i="22"/>
  <c r="K11" i="22"/>
  <c r="J11" i="22"/>
  <c r="I11" i="22"/>
  <c r="H11" i="22"/>
  <c r="G11" i="22"/>
  <c r="F11" i="22"/>
  <c r="E11" i="22"/>
  <c r="B11" i="22"/>
  <c r="C11" i="22" s="1"/>
  <c r="A11" i="22"/>
  <c r="F10" i="22"/>
  <c r="G10" i="22" s="1"/>
  <c r="E10" i="22"/>
  <c r="B10" i="22"/>
  <c r="C10" i="22" s="1"/>
  <c r="A10" i="22"/>
  <c r="K9" i="22"/>
  <c r="J9" i="22"/>
  <c r="I9" i="22"/>
  <c r="H9" i="22"/>
  <c r="G9" i="22"/>
  <c r="F9" i="22"/>
  <c r="E9" i="22"/>
  <c r="C9" i="22"/>
  <c r="B9" i="22"/>
  <c r="A9" i="22"/>
  <c r="K8" i="22"/>
  <c r="J8" i="22"/>
  <c r="I8" i="22"/>
  <c r="H8" i="22"/>
  <c r="G8" i="22"/>
  <c r="F8" i="22"/>
  <c r="E8" i="22"/>
  <c r="E6" i="22" s="1"/>
  <c r="C8" i="22"/>
  <c r="B8" i="22"/>
  <c r="A8" i="22"/>
  <c r="D6" i="22"/>
  <c r="E5" i="22"/>
  <c r="D5" i="22"/>
  <c r="A2" i="22"/>
  <c r="L56" i="21"/>
  <c r="J33" i="1" s="1"/>
  <c r="A56" i="21"/>
  <c r="K49" i="21"/>
  <c r="J49" i="21"/>
  <c r="I49" i="21"/>
  <c r="H49" i="21"/>
  <c r="G49" i="21"/>
  <c r="F49" i="21"/>
  <c r="E49" i="21"/>
  <c r="C49" i="21"/>
  <c r="B49" i="21"/>
  <c r="A49" i="21"/>
  <c r="K48" i="21"/>
  <c r="J48" i="21"/>
  <c r="I48" i="21"/>
  <c r="H48" i="21"/>
  <c r="G48" i="21"/>
  <c r="F48" i="21"/>
  <c r="E48" i="21"/>
  <c r="C48" i="21"/>
  <c r="B48" i="21"/>
  <c r="A48" i="21"/>
  <c r="K47" i="21"/>
  <c r="J47" i="21"/>
  <c r="I47" i="21"/>
  <c r="H47" i="21"/>
  <c r="G47" i="21"/>
  <c r="F47" i="21"/>
  <c r="E47" i="21"/>
  <c r="C47" i="21"/>
  <c r="B47" i="21"/>
  <c r="A47" i="21"/>
  <c r="K46" i="21"/>
  <c r="J46" i="21"/>
  <c r="I46" i="21"/>
  <c r="H46" i="21"/>
  <c r="G46" i="21"/>
  <c r="F46" i="21"/>
  <c r="E46" i="21"/>
  <c r="C46" i="21"/>
  <c r="B46" i="21"/>
  <c r="A46" i="21"/>
  <c r="K45" i="21"/>
  <c r="J45" i="21"/>
  <c r="I45" i="21"/>
  <c r="H45" i="21"/>
  <c r="G45" i="21"/>
  <c r="F45" i="21"/>
  <c r="E45" i="21"/>
  <c r="C45" i="21"/>
  <c r="B45" i="21"/>
  <c r="A45" i="21"/>
  <c r="F44" i="21"/>
  <c r="G44" i="21" s="1"/>
  <c r="E44" i="21"/>
  <c r="B44" i="21"/>
  <c r="C44" i="21" s="1"/>
  <c r="A44" i="21"/>
  <c r="F43" i="21"/>
  <c r="G43" i="21" s="1"/>
  <c r="E43" i="21"/>
  <c r="B43" i="21"/>
  <c r="C43" i="21" s="1"/>
  <c r="A43" i="21"/>
  <c r="F42" i="21"/>
  <c r="G42" i="21" s="1"/>
  <c r="E42" i="21"/>
  <c r="B42" i="21"/>
  <c r="C42" i="21" s="1"/>
  <c r="A42" i="21"/>
  <c r="F41" i="21"/>
  <c r="G41" i="21" s="1"/>
  <c r="E41" i="21"/>
  <c r="B41" i="21"/>
  <c r="C41" i="21" s="1"/>
  <c r="A41" i="21"/>
  <c r="F40" i="21"/>
  <c r="G40" i="21" s="1"/>
  <c r="E40" i="21"/>
  <c r="B40" i="21"/>
  <c r="C40" i="21" s="1"/>
  <c r="A40" i="21"/>
  <c r="K39" i="21"/>
  <c r="J39" i="21"/>
  <c r="I39" i="21"/>
  <c r="H39" i="21"/>
  <c r="G39" i="21"/>
  <c r="F39" i="21"/>
  <c r="E39" i="21"/>
  <c r="B39" i="21"/>
  <c r="C39" i="21" s="1"/>
  <c r="A39" i="21"/>
  <c r="F38" i="21"/>
  <c r="G38" i="21" s="1"/>
  <c r="E38" i="21"/>
  <c r="B38" i="21"/>
  <c r="C38" i="21" s="1"/>
  <c r="A38" i="21"/>
  <c r="F37" i="21"/>
  <c r="G37" i="21" s="1"/>
  <c r="E37" i="21"/>
  <c r="B37" i="21"/>
  <c r="C37" i="21" s="1"/>
  <c r="A37" i="21"/>
  <c r="F36" i="21"/>
  <c r="G36" i="21" s="1"/>
  <c r="E36" i="21"/>
  <c r="B36" i="21"/>
  <c r="C36" i="21" s="1"/>
  <c r="A36" i="21"/>
  <c r="F35" i="21"/>
  <c r="G35" i="21" s="1"/>
  <c r="E35" i="21"/>
  <c r="B35" i="21"/>
  <c r="C35" i="21" s="1"/>
  <c r="A35" i="21"/>
  <c r="F34" i="21"/>
  <c r="G34" i="21" s="1"/>
  <c r="E34" i="21"/>
  <c r="B34" i="21"/>
  <c r="C34" i="21" s="1"/>
  <c r="A34" i="21"/>
  <c r="F33" i="21"/>
  <c r="G33" i="21" s="1"/>
  <c r="E33" i="21"/>
  <c r="B33" i="21"/>
  <c r="C33" i="21" s="1"/>
  <c r="A33" i="21"/>
  <c r="K32" i="21"/>
  <c r="J32" i="21"/>
  <c r="I32" i="21"/>
  <c r="H32" i="21"/>
  <c r="G32" i="21"/>
  <c r="F32" i="21"/>
  <c r="E32" i="21"/>
  <c r="B32" i="21"/>
  <c r="C32" i="21" s="1"/>
  <c r="A32" i="21"/>
  <c r="F31" i="21"/>
  <c r="G31" i="21" s="1"/>
  <c r="E31" i="21"/>
  <c r="B31" i="21"/>
  <c r="C31" i="21" s="1"/>
  <c r="A31" i="21"/>
  <c r="F30" i="21"/>
  <c r="G30" i="21" s="1"/>
  <c r="E30" i="21"/>
  <c r="C30" i="21"/>
  <c r="B30" i="21"/>
  <c r="A30" i="21"/>
  <c r="F29" i="21"/>
  <c r="G29" i="21" s="1"/>
  <c r="E29" i="21"/>
  <c r="B29" i="21"/>
  <c r="C29" i="21" s="1"/>
  <c r="A29" i="21"/>
  <c r="F28" i="21"/>
  <c r="G28" i="21" s="1"/>
  <c r="E28" i="21"/>
  <c r="B28" i="21"/>
  <c r="C28" i="21" s="1"/>
  <c r="A28" i="21"/>
  <c r="F27" i="21"/>
  <c r="G27" i="21" s="1"/>
  <c r="E27" i="21"/>
  <c r="B27" i="21"/>
  <c r="C27" i="21" s="1"/>
  <c r="A27" i="21"/>
  <c r="F26" i="21"/>
  <c r="G26" i="21" s="1"/>
  <c r="E26" i="21"/>
  <c r="B26" i="21"/>
  <c r="C26" i="21" s="1"/>
  <c r="A26" i="21"/>
  <c r="K25" i="21"/>
  <c r="J25" i="21"/>
  <c r="I25" i="21"/>
  <c r="H25" i="21"/>
  <c r="G25" i="21"/>
  <c r="F25" i="21"/>
  <c r="E25" i="21"/>
  <c r="B25" i="21"/>
  <c r="C25" i="21" s="1"/>
  <c r="A25" i="21"/>
  <c r="F24" i="21"/>
  <c r="G24" i="21" s="1"/>
  <c r="E24" i="21"/>
  <c r="B24" i="21"/>
  <c r="C24" i="21" s="1"/>
  <c r="A24" i="21"/>
  <c r="G23" i="21"/>
  <c r="F23" i="21"/>
  <c r="E23" i="21"/>
  <c r="B23" i="21"/>
  <c r="C23" i="21" s="1"/>
  <c r="A23" i="21"/>
  <c r="F22" i="21"/>
  <c r="G22" i="21" s="1"/>
  <c r="E22" i="21"/>
  <c r="B22" i="21"/>
  <c r="C22" i="21" s="1"/>
  <c r="A22" i="21"/>
  <c r="F21" i="21"/>
  <c r="G21" i="21" s="1"/>
  <c r="E21" i="21"/>
  <c r="B21" i="21"/>
  <c r="C21" i="21" s="1"/>
  <c r="A21" i="21"/>
  <c r="F20" i="21"/>
  <c r="G20" i="21" s="1"/>
  <c r="E20" i="21"/>
  <c r="B20" i="21"/>
  <c r="C20" i="21" s="1"/>
  <c r="A20" i="21"/>
  <c r="F19" i="21"/>
  <c r="G19" i="21" s="1"/>
  <c r="E19" i="21"/>
  <c r="B19" i="21"/>
  <c r="C19" i="21" s="1"/>
  <c r="A19" i="21"/>
  <c r="K18" i="21"/>
  <c r="J18" i="21"/>
  <c r="I18" i="21"/>
  <c r="H18" i="21"/>
  <c r="G18" i="21"/>
  <c r="F18" i="21"/>
  <c r="E18" i="21"/>
  <c r="B18" i="21"/>
  <c r="C18" i="21" s="1"/>
  <c r="A18" i="21"/>
  <c r="F17" i="21"/>
  <c r="G17" i="21" s="1"/>
  <c r="E17" i="21"/>
  <c r="B17" i="21"/>
  <c r="C17" i="21" s="1"/>
  <c r="A17" i="21"/>
  <c r="F16" i="21"/>
  <c r="G16" i="21" s="1"/>
  <c r="E16" i="21"/>
  <c r="B16" i="21"/>
  <c r="C16" i="21" s="1"/>
  <c r="A16" i="21"/>
  <c r="F15" i="21"/>
  <c r="G15" i="21" s="1"/>
  <c r="E15" i="21"/>
  <c r="B15" i="21"/>
  <c r="C15" i="21" s="1"/>
  <c r="A15" i="21"/>
  <c r="F14" i="21"/>
  <c r="G14" i="21" s="1"/>
  <c r="E14" i="21"/>
  <c r="B14" i="21"/>
  <c r="C14" i="21" s="1"/>
  <c r="L5" i="21" s="1"/>
  <c r="A14" i="21"/>
  <c r="K13" i="21"/>
  <c r="J13" i="21"/>
  <c r="I13" i="21"/>
  <c r="H13" i="21"/>
  <c r="G13" i="21"/>
  <c r="F13" i="21"/>
  <c r="E13" i="21"/>
  <c r="C13" i="21"/>
  <c r="B13" i="21"/>
  <c r="A13" i="21"/>
  <c r="K12" i="21"/>
  <c r="J12" i="21"/>
  <c r="I12" i="21"/>
  <c r="H12" i="21"/>
  <c r="G12" i="21"/>
  <c r="F12" i="21"/>
  <c r="E12" i="21"/>
  <c r="C12" i="21"/>
  <c r="B12" i="21"/>
  <c r="A12" i="21"/>
  <c r="K11" i="21"/>
  <c r="J11" i="21"/>
  <c r="I11" i="21"/>
  <c r="H11" i="21"/>
  <c r="G11" i="21"/>
  <c r="F11" i="21"/>
  <c r="E11" i="21"/>
  <c r="C11" i="21"/>
  <c r="B11" i="21"/>
  <c r="A11" i="21"/>
  <c r="K10" i="21"/>
  <c r="J10" i="21"/>
  <c r="I10" i="21"/>
  <c r="H10" i="21"/>
  <c r="G10" i="21"/>
  <c r="F10" i="21"/>
  <c r="E10" i="21"/>
  <c r="C10" i="21"/>
  <c r="B10" i="21"/>
  <c r="A10" i="21"/>
  <c r="K9" i="21"/>
  <c r="J9" i="21"/>
  <c r="I9" i="21"/>
  <c r="H9" i="21"/>
  <c r="G9" i="21"/>
  <c r="F9" i="21"/>
  <c r="E9" i="21"/>
  <c r="C9" i="21"/>
  <c r="B9" i="21"/>
  <c r="A9" i="21"/>
  <c r="K8" i="21"/>
  <c r="J8" i="21"/>
  <c r="I8" i="21"/>
  <c r="H8" i="21"/>
  <c r="G8" i="21"/>
  <c r="F8" i="21"/>
  <c r="E8" i="21"/>
  <c r="E6" i="21" s="1"/>
  <c r="C8" i="21"/>
  <c r="B8" i="21"/>
  <c r="A8" i="21"/>
  <c r="D6" i="21"/>
  <c r="E5" i="21"/>
  <c r="D5" i="21"/>
  <c r="A2" i="21"/>
  <c r="L48" i="20"/>
  <c r="J32" i="1" s="1"/>
  <c r="A48" i="20"/>
  <c r="K42" i="20"/>
  <c r="J42" i="20"/>
  <c r="I42" i="20"/>
  <c r="H42" i="20"/>
  <c r="G42" i="20"/>
  <c r="F42" i="20"/>
  <c r="E42" i="20"/>
  <c r="C42" i="20"/>
  <c r="B42" i="20"/>
  <c r="A42" i="20"/>
  <c r="F41" i="20"/>
  <c r="G41" i="20" s="1"/>
  <c r="E41" i="20"/>
  <c r="B41" i="20"/>
  <c r="C41" i="20" s="1"/>
  <c r="A41" i="20"/>
  <c r="F40" i="20"/>
  <c r="G40" i="20" s="1"/>
  <c r="E40" i="20"/>
  <c r="B40" i="20"/>
  <c r="C40" i="20" s="1"/>
  <c r="A40" i="20"/>
  <c r="K39" i="20"/>
  <c r="J39" i="20"/>
  <c r="I39" i="20"/>
  <c r="H39" i="20"/>
  <c r="G39" i="20"/>
  <c r="F39" i="20"/>
  <c r="E39" i="20"/>
  <c r="B39" i="20"/>
  <c r="C39" i="20" s="1"/>
  <c r="A39" i="20"/>
  <c r="F38" i="20"/>
  <c r="G38" i="20" s="1"/>
  <c r="E38" i="20"/>
  <c r="B38" i="20"/>
  <c r="C38" i="20" s="1"/>
  <c r="A38" i="20"/>
  <c r="F37" i="20"/>
  <c r="G37" i="20" s="1"/>
  <c r="E37" i="20"/>
  <c r="B37" i="20"/>
  <c r="C37" i="20" s="1"/>
  <c r="A37" i="20"/>
  <c r="F36" i="20"/>
  <c r="G36" i="20" s="1"/>
  <c r="E36" i="20"/>
  <c r="B36" i="20"/>
  <c r="C36" i="20" s="1"/>
  <c r="A36" i="20"/>
  <c r="F35" i="20"/>
  <c r="G35" i="20" s="1"/>
  <c r="E35" i="20"/>
  <c r="B35" i="20"/>
  <c r="C35" i="20" s="1"/>
  <c r="A35" i="20"/>
  <c r="F34" i="20"/>
  <c r="G34" i="20" s="1"/>
  <c r="E34" i="20"/>
  <c r="B34" i="20"/>
  <c r="C34" i="20" s="1"/>
  <c r="A34" i="20"/>
  <c r="F33" i="20"/>
  <c r="G33" i="20" s="1"/>
  <c r="E33" i="20"/>
  <c r="B33" i="20"/>
  <c r="C33" i="20" s="1"/>
  <c r="A33" i="20"/>
  <c r="K32" i="20"/>
  <c r="J32" i="20"/>
  <c r="I32" i="20"/>
  <c r="H32" i="20"/>
  <c r="G32" i="20"/>
  <c r="F32" i="20"/>
  <c r="E32" i="20"/>
  <c r="B32" i="20"/>
  <c r="C32" i="20" s="1"/>
  <c r="A32" i="20"/>
  <c r="F31" i="20"/>
  <c r="G31" i="20" s="1"/>
  <c r="E31" i="20"/>
  <c r="B31" i="20"/>
  <c r="C31" i="20" s="1"/>
  <c r="A31" i="20"/>
  <c r="F30" i="20"/>
  <c r="G30" i="20" s="1"/>
  <c r="E30" i="20"/>
  <c r="B30" i="20"/>
  <c r="C30" i="20" s="1"/>
  <c r="A30" i="20"/>
  <c r="F29" i="20"/>
  <c r="G29" i="20" s="1"/>
  <c r="E29" i="20"/>
  <c r="B29" i="20"/>
  <c r="C29" i="20" s="1"/>
  <c r="A29" i="20"/>
  <c r="F28" i="20"/>
  <c r="G28" i="20" s="1"/>
  <c r="E28" i="20"/>
  <c r="B28" i="20"/>
  <c r="C28" i="20" s="1"/>
  <c r="A28" i="20"/>
  <c r="F27" i="20"/>
  <c r="G27" i="20" s="1"/>
  <c r="E27" i="20"/>
  <c r="B27" i="20"/>
  <c r="C27" i="20" s="1"/>
  <c r="A27" i="20"/>
  <c r="F26" i="20"/>
  <c r="G26" i="20" s="1"/>
  <c r="E26" i="20"/>
  <c r="B26" i="20"/>
  <c r="C26" i="20" s="1"/>
  <c r="A26" i="20"/>
  <c r="K25" i="20"/>
  <c r="J25" i="20"/>
  <c r="I25" i="20"/>
  <c r="H25" i="20"/>
  <c r="G25" i="20"/>
  <c r="F25" i="20"/>
  <c r="E25" i="20"/>
  <c r="B25" i="20"/>
  <c r="C25" i="20" s="1"/>
  <c r="A25" i="20"/>
  <c r="F24" i="20"/>
  <c r="G24" i="20" s="1"/>
  <c r="E24" i="20"/>
  <c r="B24" i="20"/>
  <c r="C24" i="20" s="1"/>
  <c r="A24" i="20"/>
  <c r="F23" i="20"/>
  <c r="G23" i="20" s="1"/>
  <c r="E23" i="20"/>
  <c r="B23" i="20"/>
  <c r="C23" i="20" s="1"/>
  <c r="A23" i="20"/>
  <c r="F22" i="20"/>
  <c r="G22" i="20" s="1"/>
  <c r="E22" i="20"/>
  <c r="B22" i="20"/>
  <c r="C22" i="20" s="1"/>
  <c r="A22" i="20"/>
  <c r="F21" i="20"/>
  <c r="G21" i="20" s="1"/>
  <c r="E21" i="20"/>
  <c r="B21" i="20"/>
  <c r="C21" i="20" s="1"/>
  <c r="A21" i="20"/>
  <c r="F20" i="20"/>
  <c r="G20" i="20" s="1"/>
  <c r="E20" i="20"/>
  <c r="B20" i="20"/>
  <c r="C20" i="20" s="1"/>
  <c r="A20" i="20"/>
  <c r="F19" i="20"/>
  <c r="G19" i="20" s="1"/>
  <c r="E19" i="20"/>
  <c r="B19" i="20"/>
  <c r="C19" i="20" s="1"/>
  <c r="A19" i="20"/>
  <c r="K18" i="20"/>
  <c r="J18" i="20"/>
  <c r="I18" i="20"/>
  <c r="H18" i="20"/>
  <c r="G18" i="20"/>
  <c r="F18" i="20"/>
  <c r="E18" i="20"/>
  <c r="B18" i="20"/>
  <c r="C18" i="20" s="1"/>
  <c r="A18" i="20"/>
  <c r="F17" i="20"/>
  <c r="G17" i="20" s="1"/>
  <c r="E17" i="20"/>
  <c r="B17" i="20"/>
  <c r="C17" i="20" s="1"/>
  <c r="A17" i="20"/>
  <c r="F16" i="20"/>
  <c r="G16" i="20" s="1"/>
  <c r="E16" i="20"/>
  <c r="B16" i="20"/>
  <c r="C16" i="20" s="1"/>
  <c r="A16" i="20"/>
  <c r="F15" i="20"/>
  <c r="G15" i="20" s="1"/>
  <c r="E15" i="20"/>
  <c r="B15" i="20"/>
  <c r="C15" i="20" s="1"/>
  <c r="A15" i="20"/>
  <c r="F14" i="20"/>
  <c r="G14" i="20" s="1"/>
  <c r="E14" i="20"/>
  <c r="B14" i="20"/>
  <c r="C14" i="20" s="1"/>
  <c r="A14" i="20"/>
  <c r="F13" i="20"/>
  <c r="G13" i="20" s="1"/>
  <c r="E13" i="20"/>
  <c r="B13" i="20"/>
  <c r="C13" i="20" s="1"/>
  <c r="A13" i="20"/>
  <c r="F12" i="20"/>
  <c r="G12" i="20" s="1"/>
  <c r="E12" i="20"/>
  <c r="B12" i="20"/>
  <c r="C12" i="20" s="1"/>
  <c r="A12" i="20"/>
  <c r="K11" i="20"/>
  <c r="J11" i="20"/>
  <c r="I11" i="20"/>
  <c r="H11" i="20"/>
  <c r="G11" i="20"/>
  <c r="F11" i="20"/>
  <c r="E11" i="20"/>
  <c r="B11" i="20"/>
  <c r="C11" i="20" s="1"/>
  <c r="A11" i="20"/>
  <c r="K10" i="20"/>
  <c r="J10" i="20"/>
  <c r="I10" i="20"/>
  <c r="H10" i="20"/>
  <c r="G10" i="20"/>
  <c r="F10" i="20"/>
  <c r="E10" i="20"/>
  <c r="C10" i="20"/>
  <c r="B10" i="20"/>
  <c r="A10" i="20"/>
  <c r="K9" i="20"/>
  <c r="J9" i="20"/>
  <c r="I9" i="20"/>
  <c r="H9" i="20"/>
  <c r="G9" i="20"/>
  <c r="F9" i="20"/>
  <c r="E9" i="20"/>
  <c r="C9" i="20"/>
  <c r="B9" i="20"/>
  <c r="A9" i="20"/>
  <c r="K8" i="20"/>
  <c r="J8" i="20"/>
  <c r="I8" i="20"/>
  <c r="H8" i="20"/>
  <c r="G8" i="20"/>
  <c r="F8" i="20"/>
  <c r="E8" i="20"/>
  <c r="E6" i="20" s="1"/>
  <c r="C8" i="20"/>
  <c r="B8" i="20"/>
  <c r="A8" i="20"/>
  <c r="D6" i="20"/>
  <c r="E5" i="20"/>
  <c r="D5" i="20"/>
  <c r="A2" i="20"/>
  <c r="L48" i="19"/>
  <c r="J31" i="1" s="1"/>
  <c r="A48" i="19"/>
  <c r="K42" i="19"/>
  <c r="J42" i="19"/>
  <c r="I42" i="19"/>
  <c r="H42" i="19"/>
  <c r="G42" i="19"/>
  <c r="F42" i="19"/>
  <c r="E42" i="19"/>
  <c r="C42" i="19"/>
  <c r="B42" i="19"/>
  <c r="A42" i="19"/>
  <c r="K41" i="19"/>
  <c r="J41" i="19"/>
  <c r="I41" i="19"/>
  <c r="H41" i="19"/>
  <c r="G41" i="19"/>
  <c r="F41" i="19"/>
  <c r="E41" i="19"/>
  <c r="C41" i="19"/>
  <c r="B41" i="19"/>
  <c r="A41" i="19"/>
  <c r="K40" i="19"/>
  <c r="J40" i="19"/>
  <c r="I40" i="19"/>
  <c r="H40" i="19"/>
  <c r="G40" i="19"/>
  <c r="F40" i="19"/>
  <c r="E40" i="19"/>
  <c r="C40" i="19"/>
  <c r="B40" i="19"/>
  <c r="A40" i="19"/>
  <c r="K39" i="19"/>
  <c r="J39" i="19"/>
  <c r="I39" i="19"/>
  <c r="H39" i="19"/>
  <c r="G39" i="19"/>
  <c r="F39" i="19"/>
  <c r="E39" i="19"/>
  <c r="C39" i="19"/>
  <c r="B39" i="19"/>
  <c r="A39" i="19"/>
  <c r="F38" i="19"/>
  <c r="G38" i="19" s="1"/>
  <c r="E38" i="19"/>
  <c r="B38" i="19"/>
  <c r="C38" i="19" s="1"/>
  <c r="A38" i="19"/>
  <c r="F37" i="19"/>
  <c r="G37" i="19" s="1"/>
  <c r="E37" i="19"/>
  <c r="B37" i="19"/>
  <c r="C37" i="19" s="1"/>
  <c r="A37" i="19"/>
  <c r="F36" i="19"/>
  <c r="G36" i="19" s="1"/>
  <c r="E36" i="19"/>
  <c r="B36" i="19"/>
  <c r="C36" i="19" s="1"/>
  <c r="A36" i="19"/>
  <c r="F35" i="19"/>
  <c r="G35" i="19" s="1"/>
  <c r="E35" i="19"/>
  <c r="B35" i="19"/>
  <c r="C35" i="19" s="1"/>
  <c r="A35" i="19"/>
  <c r="F34" i="19"/>
  <c r="G34" i="19" s="1"/>
  <c r="E34" i="19"/>
  <c r="B34" i="19"/>
  <c r="C34" i="19" s="1"/>
  <c r="A34" i="19"/>
  <c r="F33" i="19"/>
  <c r="G33" i="19" s="1"/>
  <c r="E33" i="19"/>
  <c r="B33" i="19"/>
  <c r="C33" i="19" s="1"/>
  <c r="A33" i="19"/>
  <c r="K32" i="19"/>
  <c r="J32" i="19"/>
  <c r="I32" i="19"/>
  <c r="H32" i="19"/>
  <c r="G32" i="19"/>
  <c r="F32" i="19"/>
  <c r="E32" i="19"/>
  <c r="B32" i="19"/>
  <c r="C32" i="19" s="1"/>
  <c r="A32" i="19"/>
  <c r="F31" i="19"/>
  <c r="G31" i="19" s="1"/>
  <c r="E31" i="19"/>
  <c r="B31" i="19"/>
  <c r="C31" i="19" s="1"/>
  <c r="A31" i="19"/>
  <c r="F30" i="19"/>
  <c r="G30" i="19" s="1"/>
  <c r="E30" i="19"/>
  <c r="B30" i="19"/>
  <c r="C30" i="19" s="1"/>
  <c r="A30" i="19"/>
  <c r="F29" i="19"/>
  <c r="G29" i="19" s="1"/>
  <c r="E29" i="19"/>
  <c r="B29" i="19"/>
  <c r="C29" i="19" s="1"/>
  <c r="A29" i="19"/>
  <c r="F28" i="19"/>
  <c r="G28" i="19" s="1"/>
  <c r="E28" i="19"/>
  <c r="B28" i="19"/>
  <c r="C28" i="19" s="1"/>
  <c r="A28" i="19"/>
  <c r="F27" i="19"/>
  <c r="G27" i="19" s="1"/>
  <c r="E27" i="19"/>
  <c r="B27" i="19"/>
  <c r="C27" i="19" s="1"/>
  <c r="A27" i="19"/>
  <c r="F26" i="19"/>
  <c r="G26" i="19" s="1"/>
  <c r="E26" i="19"/>
  <c r="B26" i="19"/>
  <c r="C26" i="19" s="1"/>
  <c r="A26" i="19"/>
  <c r="K25" i="19"/>
  <c r="J25" i="19"/>
  <c r="I25" i="19"/>
  <c r="H25" i="19"/>
  <c r="G25" i="19"/>
  <c r="F25" i="19"/>
  <c r="E25" i="19"/>
  <c r="B25" i="19"/>
  <c r="C25" i="19" s="1"/>
  <c r="A25" i="19"/>
  <c r="F24" i="19"/>
  <c r="G24" i="19" s="1"/>
  <c r="E24" i="19"/>
  <c r="B24" i="19"/>
  <c r="C24" i="19" s="1"/>
  <c r="A24" i="19"/>
  <c r="F23" i="19"/>
  <c r="G23" i="19" s="1"/>
  <c r="E23" i="19"/>
  <c r="B23" i="19"/>
  <c r="C23" i="19" s="1"/>
  <c r="A23" i="19"/>
  <c r="F22" i="19"/>
  <c r="G22" i="19" s="1"/>
  <c r="E22" i="19"/>
  <c r="B22" i="19"/>
  <c r="C22" i="19" s="1"/>
  <c r="A22" i="19"/>
  <c r="F21" i="19"/>
  <c r="G21" i="19" s="1"/>
  <c r="E21" i="19"/>
  <c r="B21" i="19"/>
  <c r="C21" i="19" s="1"/>
  <c r="A21" i="19"/>
  <c r="F20" i="19"/>
  <c r="G20" i="19" s="1"/>
  <c r="E20" i="19"/>
  <c r="C20" i="19"/>
  <c r="B20" i="19"/>
  <c r="A20" i="19"/>
  <c r="F19" i="19"/>
  <c r="G19" i="19" s="1"/>
  <c r="E19" i="19"/>
  <c r="B19" i="19"/>
  <c r="C19" i="19" s="1"/>
  <c r="A19" i="19"/>
  <c r="K18" i="19"/>
  <c r="J18" i="19"/>
  <c r="I18" i="19"/>
  <c r="H18" i="19"/>
  <c r="G18" i="19"/>
  <c r="F18" i="19"/>
  <c r="E18" i="19"/>
  <c r="B18" i="19"/>
  <c r="C18" i="19" s="1"/>
  <c r="A18" i="19"/>
  <c r="F17" i="19"/>
  <c r="G17" i="19" s="1"/>
  <c r="E17" i="19"/>
  <c r="B17" i="19"/>
  <c r="C17" i="19" s="1"/>
  <c r="A17" i="19"/>
  <c r="F16" i="19"/>
  <c r="G16" i="19" s="1"/>
  <c r="E16" i="19"/>
  <c r="B16" i="19"/>
  <c r="C16" i="19" s="1"/>
  <c r="A16" i="19"/>
  <c r="F15" i="19"/>
  <c r="G15" i="19" s="1"/>
  <c r="E15" i="19"/>
  <c r="B15" i="19"/>
  <c r="C15" i="19" s="1"/>
  <c r="A15" i="19"/>
  <c r="F14" i="19"/>
  <c r="G14" i="19" s="1"/>
  <c r="E14" i="19"/>
  <c r="B14" i="19"/>
  <c r="C14" i="19" s="1"/>
  <c r="A14" i="19"/>
  <c r="F13" i="19"/>
  <c r="G13" i="19" s="1"/>
  <c r="E13" i="19"/>
  <c r="B13" i="19"/>
  <c r="C13" i="19" s="1"/>
  <c r="A13" i="19"/>
  <c r="F12" i="19"/>
  <c r="G12" i="19" s="1"/>
  <c r="E12" i="19"/>
  <c r="B12" i="19"/>
  <c r="C12" i="19" s="1"/>
  <c r="A12" i="19"/>
  <c r="K11" i="19"/>
  <c r="J11" i="19"/>
  <c r="I11" i="19"/>
  <c r="H11" i="19"/>
  <c r="G11" i="19"/>
  <c r="F11" i="19"/>
  <c r="E11" i="19"/>
  <c r="B11" i="19"/>
  <c r="C11" i="19" s="1"/>
  <c r="A11" i="19"/>
  <c r="F10" i="19"/>
  <c r="G10" i="19" s="1"/>
  <c r="E10" i="19"/>
  <c r="B10" i="19"/>
  <c r="C10" i="19" s="1"/>
  <c r="A10" i="19"/>
  <c r="F9" i="19"/>
  <c r="G9" i="19" s="1"/>
  <c r="E9" i="19"/>
  <c r="B9" i="19"/>
  <c r="C9" i="19" s="1"/>
  <c r="A9" i="19"/>
  <c r="K8" i="19"/>
  <c r="J8" i="19"/>
  <c r="I8" i="19"/>
  <c r="H8" i="19"/>
  <c r="G8" i="19"/>
  <c r="F8" i="19"/>
  <c r="E8" i="19"/>
  <c r="C8" i="19"/>
  <c r="B8" i="19"/>
  <c r="A8" i="19"/>
  <c r="D6" i="19"/>
  <c r="D5" i="19"/>
  <c r="A2" i="19"/>
  <c r="L56" i="18"/>
  <c r="A56" i="18"/>
  <c r="K49" i="18"/>
  <c r="J49" i="18"/>
  <c r="I49" i="18"/>
  <c r="H49" i="18"/>
  <c r="G49" i="18"/>
  <c r="F49" i="18"/>
  <c r="E49" i="18"/>
  <c r="C49" i="18"/>
  <c r="B49" i="18"/>
  <c r="A49" i="18"/>
  <c r="K48" i="18"/>
  <c r="J48" i="18"/>
  <c r="I48" i="18"/>
  <c r="H48" i="18"/>
  <c r="G48" i="18"/>
  <c r="F48" i="18"/>
  <c r="E48" i="18"/>
  <c r="C48" i="18"/>
  <c r="B48" i="18"/>
  <c r="A48" i="18"/>
  <c r="K47" i="18"/>
  <c r="J47" i="18"/>
  <c r="I47" i="18"/>
  <c r="H47" i="18"/>
  <c r="G47" i="18"/>
  <c r="F47" i="18"/>
  <c r="E47" i="18"/>
  <c r="C47" i="18"/>
  <c r="B47" i="18"/>
  <c r="A47" i="18"/>
  <c r="K46" i="18"/>
  <c r="J46" i="18"/>
  <c r="I46" i="18"/>
  <c r="H46" i="18"/>
  <c r="G46" i="18"/>
  <c r="F46" i="18"/>
  <c r="E46" i="18"/>
  <c r="C46" i="18"/>
  <c r="B46" i="18"/>
  <c r="A46" i="18"/>
  <c r="K45" i="18"/>
  <c r="J45" i="18"/>
  <c r="I45" i="18"/>
  <c r="H45" i="18"/>
  <c r="G45" i="18"/>
  <c r="F45" i="18"/>
  <c r="E45" i="18"/>
  <c r="C45" i="18"/>
  <c r="B45" i="18"/>
  <c r="A45" i="18"/>
  <c r="K44" i="18"/>
  <c r="J44" i="18"/>
  <c r="I44" i="18"/>
  <c r="H44" i="18"/>
  <c r="G44" i="18"/>
  <c r="F44" i="18"/>
  <c r="E44" i="18"/>
  <c r="C44" i="18"/>
  <c r="B44" i="18"/>
  <c r="A44" i="18"/>
  <c r="F43" i="18"/>
  <c r="G43" i="18" s="1"/>
  <c r="E43" i="18"/>
  <c r="B43" i="18"/>
  <c r="C43" i="18" s="1"/>
  <c r="A43" i="18"/>
  <c r="F42" i="18"/>
  <c r="G42" i="18" s="1"/>
  <c r="E42" i="18"/>
  <c r="B42" i="18"/>
  <c r="C42" i="18" s="1"/>
  <c r="A42" i="18"/>
  <c r="F41" i="18"/>
  <c r="G41" i="18" s="1"/>
  <c r="E41" i="18"/>
  <c r="B41" i="18"/>
  <c r="C41" i="18" s="1"/>
  <c r="A41" i="18"/>
  <c r="F40" i="18"/>
  <c r="G40" i="18" s="1"/>
  <c r="E40" i="18"/>
  <c r="B40" i="18"/>
  <c r="C40" i="18" s="1"/>
  <c r="A40" i="18"/>
  <c r="K39" i="18"/>
  <c r="J39" i="18"/>
  <c r="I39" i="18"/>
  <c r="H39" i="18"/>
  <c r="G39" i="18"/>
  <c r="F39" i="18"/>
  <c r="E39" i="18"/>
  <c r="B39" i="18"/>
  <c r="C39" i="18" s="1"/>
  <c r="A39" i="18"/>
  <c r="F38" i="18"/>
  <c r="G38" i="18" s="1"/>
  <c r="E38" i="18"/>
  <c r="B38" i="18"/>
  <c r="C38" i="18" s="1"/>
  <c r="A38" i="18"/>
  <c r="F37" i="18"/>
  <c r="G37" i="18" s="1"/>
  <c r="E37" i="18"/>
  <c r="B37" i="18"/>
  <c r="C37" i="18" s="1"/>
  <c r="A37" i="18"/>
  <c r="F36" i="18"/>
  <c r="G36" i="18" s="1"/>
  <c r="E36" i="18"/>
  <c r="B36" i="18"/>
  <c r="C36" i="18" s="1"/>
  <c r="A36" i="18"/>
  <c r="F35" i="18"/>
  <c r="G35" i="18" s="1"/>
  <c r="E35" i="18"/>
  <c r="B35" i="18"/>
  <c r="C35" i="18" s="1"/>
  <c r="A35" i="18"/>
  <c r="F34" i="18"/>
  <c r="G34" i="18" s="1"/>
  <c r="E34" i="18"/>
  <c r="B34" i="18"/>
  <c r="C34" i="18" s="1"/>
  <c r="A34" i="18"/>
  <c r="F33" i="18"/>
  <c r="G33" i="18" s="1"/>
  <c r="E33" i="18"/>
  <c r="B33" i="18"/>
  <c r="C33" i="18" s="1"/>
  <c r="A33" i="18"/>
  <c r="K32" i="18"/>
  <c r="J32" i="18"/>
  <c r="I32" i="18"/>
  <c r="H32" i="18"/>
  <c r="G32" i="18"/>
  <c r="F32" i="18"/>
  <c r="E32" i="18"/>
  <c r="B32" i="18"/>
  <c r="C32" i="18" s="1"/>
  <c r="A32" i="18"/>
  <c r="F31" i="18"/>
  <c r="G31" i="18" s="1"/>
  <c r="E31" i="18"/>
  <c r="B31" i="18"/>
  <c r="C31" i="18" s="1"/>
  <c r="A31" i="18"/>
  <c r="F30" i="18"/>
  <c r="G30" i="18" s="1"/>
  <c r="E30" i="18"/>
  <c r="B30" i="18"/>
  <c r="C30" i="18" s="1"/>
  <c r="A30" i="18"/>
  <c r="F29" i="18"/>
  <c r="G29" i="18" s="1"/>
  <c r="E29" i="18"/>
  <c r="B29" i="18"/>
  <c r="C29" i="18" s="1"/>
  <c r="A29" i="18"/>
  <c r="F28" i="18"/>
  <c r="G28" i="18" s="1"/>
  <c r="E28" i="18"/>
  <c r="B28" i="18"/>
  <c r="C28" i="18" s="1"/>
  <c r="A28" i="18"/>
  <c r="F27" i="18"/>
  <c r="G27" i="18" s="1"/>
  <c r="E27" i="18"/>
  <c r="B27" i="18"/>
  <c r="C27" i="18" s="1"/>
  <c r="A27" i="18"/>
  <c r="F26" i="18"/>
  <c r="G26" i="18" s="1"/>
  <c r="E26" i="18"/>
  <c r="B26" i="18"/>
  <c r="C26" i="18" s="1"/>
  <c r="A26" i="18"/>
  <c r="K25" i="18"/>
  <c r="J25" i="18"/>
  <c r="I25" i="18"/>
  <c r="H25" i="18"/>
  <c r="G25" i="18"/>
  <c r="F25" i="18"/>
  <c r="E25" i="18"/>
  <c r="B25" i="18"/>
  <c r="C25" i="18" s="1"/>
  <c r="A25" i="18"/>
  <c r="F24" i="18"/>
  <c r="G24" i="18" s="1"/>
  <c r="E24" i="18"/>
  <c r="B24" i="18"/>
  <c r="C24" i="18" s="1"/>
  <c r="A24" i="18"/>
  <c r="F23" i="18"/>
  <c r="G23" i="18" s="1"/>
  <c r="E23" i="18"/>
  <c r="B23" i="18"/>
  <c r="C23" i="18" s="1"/>
  <c r="A23" i="18"/>
  <c r="G22" i="18"/>
  <c r="F22" i="18"/>
  <c r="E22" i="18"/>
  <c r="B22" i="18"/>
  <c r="C22" i="18" s="1"/>
  <c r="A22" i="18"/>
  <c r="F21" i="18"/>
  <c r="G21" i="18" s="1"/>
  <c r="E21" i="18"/>
  <c r="B21" i="18"/>
  <c r="C21" i="18" s="1"/>
  <c r="A21" i="18"/>
  <c r="F20" i="18"/>
  <c r="G20" i="18" s="1"/>
  <c r="E20" i="18"/>
  <c r="B20" i="18"/>
  <c r="C20" i="18" s="1"/>
  <c r="A20" i="18"/>
  <c r="F19" i="18"/>
  <c r="G19" i="18" s="1"/>
  <c r="E19" i="18"/>
  <c r="B19" i="18"/>
  <c r="C19" i="18" s="1"/>
  <c r="A19" i="18"/>
  <c r="K18" i="18"/>
  <c r="J18" i="18"/>
  <c r="I18" i="18"/>
  <c r="H18" i="18"/>
  <c r="G18" i="18"/>
  <c r="F18" i="18"/>
  <c r="E18" i="18"/>
  <c r="B18" i="18"/>
  <c r="C18" i="18" s="1"/>
  <c r="A18" i="18"/>
  <c r="F17" i="18"/>
  <c r="G17" i="18" s="1"/>
  <c r="E17" i="18"/>
  <c r="B17" i="18"/>
  <c r="C17" i="18" s="1"/>
  <c r="A17" i="18"/>
  <c r="F16" i="18"/>
  <c r="G16" i="18" s="1"/>
  <c r="E16" i="18"/>
  <c r="B16" i="18"/>
  <c r="C16" i="18" s="1"/>
  <c r="A16" i="18"/>
  <c r="F15" i="18"/>
  <c r="G15" i="18" s="1"/>
  <c r="E15" i="18"/>
  <c r="B15" i="18"/>
  <c r="C15" i="18" s="1"/>
  <c r="A15" i="18"/>
  <c r="F14" i="18"/>
  <c r="G14" i="18" s="1"/>
  <c r="E14" i="18"/>
  <c r="B14" i="18"/>
  <c r="C14" i="18" s="1"/>
  <c r="A14" i="18"/>
  <c r="F13" i="18"/>
  <c r="G13" i="18" s="1"/>
  <c r="E13" i="18"/>
  <c r="B13" i="18"/>
  <c r="C13" i="18" s="1"/>
  <c r="A13" i="18"/>
  <c r="K12" i="18"/>
  <c r="J12" i="18"/>
  <c r="I12" i="18"/>
  <c r="H12" i="18"/>
  <c r="G12" i="18"/>
  <c r="F12" i="18"/>
  <c r="E12" i="18"/>
  <c r="C12" i="18"/>
  <c r="B12" i="18"/>
  <c r="A12" i="18"/>
  <c r="K11" i="18"/>
  <c r="J11" i="18"/>
  <c r="I11" i="18"/>
  <c r="H11" i="18"/>
  <c r="G11" i="18"/>
  <c r="F11" i="18"/>
  <c r="E11" i="18"/>
  <c r="C11" i="18"/>
  <c r="B11" i="18"/>
  <c r="A11" i="18"/>
  <c r="K10" i="18"/>
  <c r="J10" i="18"/>
  <c r="I10" i="18"/>
  <c r="H10" i="18"/>
  <c r="G10" i="18"/>
  <c r="F10" i="18"/>
  <c r="E10" i="18"/>
  <c r="C10" i="18"/>
  <c r="B10" i="18"/>
  <c r="A10" i="18"/>
  <c r="K9" i="18"/>
  <c r="J9" i="18"/>
  <c r="I9" i="18"/>
  <c r="H9" i="18"/>
  <c r="G9" i="18"/>
  <c r="F9" i="18"/>
  <c r="E9" i="18"/>
  <c r="C9" i="18"/>
  <c r="B9" i="18"/>
  <c r="A9" i="18"/>
  <c r="K8" i="18"/>
  <c r="J8" i="18"/>
  <c r="I8" i="18"/>
  <c r="H8" i="18"/>
  <c r="G8" i="18"/>
  <c r="F8" i="18"/>
  <c r="E8" i="18"/>
  <c r="E6" i="18" s="1"/>
  <c r="C8" i="18"/>
  <c r="B8" i="18"/>
  <c r="A8" i="18"/>
  <c r="D6" i="18"/>
  <c r="E5" i="18"/>
  <c r="D5" i="18"/>
  <c r="A2" i="18"/>
  <c r="L48" i="17"/>
  <c r="J29" i="1" s="1"/>
  <c r="A48" i="17"/>
  <c r="K42" i="17"/>
  <c r="J42" i="17"/>
  <c r="I42" i="17"/>
  <c r="H42" i="17"/>
  <c r="G42" i="17"/>
  <c r="F42" i="17"/>
  <c r="E42" i="17"/>
  <c r="C42" i="17"/>
  <c r="B42" i="17"/>
  <c r="A42" i="17"/>
  <c r="K41" i="17"/>
  <c r="J41" i="17"/>
  <c r="I41" i="17"/>
  <c r="H41" i="17"/>
  <c r="G41" i="17"/>
  <c r="F41" i="17"/>
  <c r="E41" i="17"/>
  <c r="C41" i="17"/>
  <c r="B41" i="17"/>
  <c r="A41" i="17"/>
  <c r="F40" i="17"/>
  <c r="G40" i="17" s="1"/>
  <c r="E40" i="17"/>
  <c r="B40" i="17"/>
  <c r="C40" i="17" s="1"/>
  <c r="A40" i="17"/>
  <c r="K39" i="17"/>
  <c r="J39" i="17"/>
  <c r="I39" i="17"/>
  <c r="H39" i="17"/>
  <c r="G39" i="17"/>
  <c r="F39" i="17"/>
  <c r="E39" i="17"/>
  <c r="B39" i="17"/>
  <c r="C39" i="17" s="1"/>
  <c r="A39" i="17"/>
  <c r="F38" i="17"/>
  <c r="G38" i="17" s="1"/>
  <c r="E38" i="17"/>
  <c r="B38" i="17"/>
  <c r="C38" i="17" s="1"/>
  <c r="A38" i="17"/>
  <c r="F37" i="17"/>
  <c r="G37" i="17" s="1"/>
  <c r="E37" i="17"/>
  <c r="B37" i="17"/>
  <c r="C37" i="17" s="1"/>
  <c r="A37" i="17"/>
  <c r="F36" i="17"/>
  <c r="G36" i="17" s="1"/>
  <c r="E36" i="17"/>
  <c r="B36" i="17"/>
  <c r="C36" i="17" s="1"/>
  <c r="A36" i="17"/>
  <c r="F35" i="17"/>
  <c r="G35" i="17" s="1"/>
  <c r="E35" i="17"/>
  <c r="B35" i="17"/>
  <c r="C35" i="17" s="1"/>
  <c r="A35" i="17"/>
  <c r="F34" i="17"/>
  <c r="G34" i="17" s="1"/>
  <c r="E34" i="17"/>
  <c r="B34" i="17"/>
  <c r="C34" i="17" s="1"/>
  <c r="A34" i="17"/>
  <c r="F33" i="17"/>
  <c r="G33" i="17" s="1"/>
  <c r="E33" i="17"/>
  <c r="B33" i="17"/>
  <c r="C33" i="17" s="1"/>
  <c r="A33" i="17"/>
  <c r="K32" i="17"/>
  <c r="J32" i="17"/>
  <c r="I32" i="17"/>
  <c r="H32" i="17"/>
  <c r="G32" i="17"/>
  <c r="F32" i="17"/>
  <c r="E32" i="17"/>
  <c r="B32" i="17"/>
  <c r="C32" i="17" s="1"/>
  <c r="A32" i="17"/>
  <c r="F31" i="17"/>
  <c r="G31" i="17" s="1"/>
  <c r="E31" i="17"/>
  <c r="B31" i="17"/>
  <c r="C31" i="17" s="1"/>
  <c r="A31" i="17"/>
  <c r="F30" i="17"/>
  <c r="G30" i="17" s="1"/>
  <c r="E30" i="17"/>
  <c r="B30" i="17"/>
  <c r="C30" i="17" s="1"/>
  <c r="A30" i="17"/>
  <c r="F29" i="17"/>
  <c r="G29" i="17" s="1"/>
  <c r="E29" i="17"/>
  <c r="B29" i="17"/>
  <c r="C29" i="17" s="1"/>
  <c r="A29" i="17"/>
  <c r="F28" i="17"/>
  <c r="G28" i="17" s="1"/>
  <c r="E28" i="17"/>
  <c r="B28" i="17"/>
  <c r="C28" i="17" s="1"/>
  <c r="A28" i="17"/>
  <c r="G27" i="17"/>
  <c r="F27" i="17"/>
  <c r="E27" i="17"/>
  <c r="B27" i="17"/>
  <c r="C27" i="17" s="1"/>
  <c r="A27" i="17"/>
  <c r="F26" i="17"/>
  <c r="G26" i="17" s="1"/>
  <c r="E26" i="17"/>
  <c r="B26" i="17"/>
  <c r="C26" i="17" s="1"/>
  <c r="A26" i="17"/>
  <c r="K25" i="17"/>
  <c r="J25" i="17"/>
  <c r="I25" i="17"/>
  <c r="H25" i="17"/>
  <c r="G25" i="17"/>
  <c r="F25" i="17"/>
  <c r="E25" i="17"/>
  <c r="B25" i="17"/>
  <c r="C25" i="17" s="1"/>
  <c r="A25" i="17"/>
  <c r="F24" i="17"/>
  <c r="G24" i="17" s="1"/>
  <c r="E24" i="17"/>
  <c r="B24" i="17"/>
  <c r="C24" i="17" s="1"/>
  <c r="A24" i="17"/>
  <c r="G23" i="17"/>
  <c r="F23" i="17"/>
  <c r="E23" i="17"/>
  <c r="B23" i="17"/>
  <c r="C23" i="17" s="1"/>
  <c r="A23" i="17"/>
  <c r="F22" i="17"/>
  <c r="G22" i="17" s="1"/>
  <c r="E22" i="17"/>
  <c r="B22" i="17"/>
  <c r="C22" i="17" s="1"/>
  <c r="A22" i="17"/>
  <c r="F21" i="17"/>
  <c r="G21" i="17" s="1"/>
  <c r="E21" i="17"/>
  <c r="B21" i="17"/>
  <c r="C21" i="17" s="1"/>
  <c r="A21" i="17"/>
  <c r="F20" i="17"/>
  <c r="G20" i="17" s="1"/>
  <c r="E20" i="17"/>
  <c r="B20" i="17"/>
  <c r="C20" i="17" s="1"/>
  <c r="A20" i="17"/>
  <c r="F19" i="17"/>
  <c r="G19" i="17" s="1"/>
  <c r="E19" i="17"/>
  <c r="B19" i="17"/>
  <c r="C19" i="17" s="1"/>
  <c r="A19" i="17"/>
  <c r="K18" i="17"/>
  <c r="J18" i="17"/>
  <c r="I18" i="17"/>
  <c r="H18" i="17"/>
  <c r="G18" i="17"/>
  <c r="F18" i="17"/>
  <c r="E18" i="17"/>
  <c r="B18" i="17"/>
  <c r="C18" i="17" s="1"/>
  <c r="A18" i="17"/>
  <c r="F17" i="17"/>
  <c r="G17" i="17" s="1"/>
  <c r="E17" i="17"/>
  <c r="B17" i="17"/>
  <c r="C17" i="17" s="1"/>
  <c r="A17" i="17"/>
  <c r="G16" i="17"/>
  <c r="F16" i="17"/>
  <c r="E16" i="17"/>
  <c r="B16" i="17"/>
  <c r="C16" i="17" s="1"/>
  <c r="A16" i="17"/>
  <c r="F15" i="17"/>
  <c r="G15" i="17" s="1"/>
  <c r="E15" i="17"/>
  <c r="B15" i="17"/>
  <c r="C15" i="17" s="1"/>
  <c r="A15" i="17"/>
  <c r="F14" i="17"/>
  <c r="G14" i="17" s="1"/>
  <c r="E14" i="17"/>
  <c r="B14" i="17"/>
  <c r="C14" i="17" s="1"/>
  <c r="A14" i="17"/>
  <c r="F13" i="17"/>
  <c r="G13" i="17" s="1"/>
  <c r="E13" i="17"/>
  <c r="B13" i="17"/>
  <c r="C13" i="17" s="1"/>
  <c r="A13" i="17"/>
  <c r="F12" i="17"/>
  <c r="G12" i="17" s="1"/>
  <c r="E12" i="17"/>
  <c r="B12" i="17"/>
  <c r="C12" i="17" s="1"/>
  <c r="A12" i="17"/>
  <c r="K11" i="17"/>
  <c r="J11" i="17"/>
  <c r="I11" i="17"/>
  <c r="H11" i="17"/>
  <c r="G11" i="17"/>
  <c r="F11" i="17"/>
  <c r="E11" i="17"/>
  <c r="B11" i="17"/>
  <c r="C11" i="17" s="1"/>
  <c r="L5" i="17" s="1"/>
  <c r="A11" i="17"/>
  <c r="K10" i="17"/>
  <c r="J10" i="17"/>
  <c r="I10" i="17"/>
  <c r="H10" i="17"/>
  <c r="G10" i="17"/>
  <c r="F10" i="17"/>
  <c r="E10" i="17"/>
  <c r="C10" i="17"/>
  <c r="B10" i="17"/>
  <c r="A10" i="17"/>
  <c r="K9" i="17"/>
  <c r="J9" i="17"/>
  <c r="I9" i="17"/>
  <c r="H9" i="17"/>
  <c r="G9" i="17"/>
  <c r="F9" i="17"/>
  <c r="E9" i="17"/>
  <c r="C9" i="17"/>
  <c r="B9" i="17"/>
  <c r="A9" i="17"/>
  <c r="K8" i="17"/>
  <c r="J8" i="17"/>
  <c r="I8" i="17"/>
  <c r="H8" i="17"/>
  <c r="G8" i="17"/>
  <c r="F8" i="17"/>
  <c r="E8" i="17"/>
  <c r="E6" i="17" s="1"/>
  <c r="C8" i="17"/>
  <c r="B8" i="17"/>
  <c r="A8" i="17"/>
  <c r="D6" i="17"/>
  <c r="E5" i="17"/>
  <c r="D5" i="17"/>
  <c r="A2" i="17"/>
  <c r="L48" i="16"/>
  <c r="J28" i="1" s="1"/>
  <c r="A48" i="16"/>
  <c r="K42" i="16"/>
  <c r="J42" i="16"/>
  <c r="I42" i="16"/>
  <c r="H42" i="16"/>
  <c r="G42" i="16"/>
  <c r="F42" i="16"/>
  <c r="E42" i="16"/>
  <c r="C42" i="16"/>
  <c r="B42" i="16"/>
  <c r="A42" i="16"/>
  <c r="K41" i="16"/>
  <c r="J41" i="16"/>
  <c r="I41" i="16"/>
  <c r="H41" i="16"/>
  <c r="G41" i="16"/>
  <c r="F41" i="16"/>
  <c r="E41" i="16"/>
  <c r="C41" i="16"/>
  <c r="B41" i="16"/>
  <c r="A41" i="16"/>
  <c r="K40" i="16"/>
  <c r="J40" i="16"/>
  <c r="I40" i="16"/>
  <c r="H40" i="16"/>
  <c r="G40" i="16"/>
  <c r="F40" i="16"/>
  <c r="E40" i="16"/>
  <c r="C40" i="16"/>
  <c r="B40" i="16"/>
  <c r="A40" i="16"/>
  <c r="K39" i="16"/>
  <c r="J39" i="16"/>
  <c r="I39" i="16"/>
  <c r="H39" i="16"/>
  <c r="G39" i="16"/>
  <c r="F39" i="16"/>
  <c r="E39" i="16"/>
  <c r="C39" i="16"/>
  <c r="B39" i="16"/>
  <c r="A39" i="16"/>
  <c r="F38" i="16"/>
  <c r="G38" i="16" s="1"/>
  <c r="E38" i="16"/>
  <c r="B38" i="16"/>
  <c r="C38" i="16" s="1"/>
  <c r="A38" i="16"/>
  <c r="F37" i="16"/>
  <c r="G37" i="16" s="1"/>
  <c r="E37" i="16"/>
  <c r="B37" i="16"/>
  <c r="C37" i="16" s="1"/>
  <c r="A37" i="16"/>
  <c r="F36" i="16"/>
  <c r="G36" i="16" s="1"/>
  <c r="E36" i="16"/>
  <c r="B36" i="16"/>
  <c r="C36" i="16" s="1"/>
  <c r="A36" i="16"/>
  <c r="F35" i="16"/>
  <c r="G35" i="16" s="1"/>
  <c r="E35" i="16"/>
  <c r="B35" i="16"/>
  <c r="C35" i="16" s="1"/>
  <c r="A35" i="16"/>
  <c r="F34" i="16"/>
  <c r="G34" i="16" s="1"/>
  <c r="E34" i="16"/>
  <c r="B34" i="16"/>
  <c r="C34" i="16" s="1"/>
  <c r="A34" i="16"/>
  <c r="F33" i="16"/>
  <c r="G33" i="16" s="1"/>
  <c r="E33" i="16"/>
  <c r="B33" i="16"/>
  <c r="C33" i="16" s="1"/>
  <c r="A33" i="16"/>
  <c r="K32" i="16"/>
  <c r="J32" i="16"/>
  <c r="I32" i="16"/>
  <c r="H32" i="16"/>
  <c r="G32" i="16"/>
  <c r="F32" i="16"/>
  <c r="E32" i="16"/>
  <c r="B32" i="16"/>
  <c r="C32" i="16" s="1"/>
  <c r="A32" i="16"/>
  <c r="F31" i="16"/>
  <c r="G31" i="16" s="1"/>
  <c r="E31" i="16"/>
  <c r="B31" i="16"/>
  <c r="C31" i="16" s="1"/>
  <c r="A31" i="16"/>
  <c r="F30" i="16"/>
  <c r="G30" i="16" s="1"/>
  <c r="E30" i="16"/>
  <c r="B30" i="16"/>
  <c r="C30" i="16" s="1"/>
  <c r="A30" i="16"/>
  <c r="F29" i="16"/>
  <c r="G29" i="16" s="1"/>
  <c r="E29" i="16"/>
  <c r="B29" i="16"/>
  <c r="C29" i="16" s="1"/>
  <c r="A29" i="16"/>
  <c r="F28" i="16"/>
  <c r="G28" i="16" s="1"/>
  <c r="E28" i="16"/>
  <c r="B28" i="16"/>
  <c r="C28" i="16" s="1"/>
  <c r="A28" i="16"/>
  <c r="F27" i="16"/>
  <c r="G27" i="16" s="1"/>
  <c r="E27" i="16"/>
  <c r="B27" i="16"/>
  <c r="C27" i="16" s="1"/>
  <c r="A27" i="16"/>
  <c r="G26" i="16"/>
  <c r="F26" i="16"/>
  <c r="E26" i="16"/>
  <c r="B26" i="16"/>
  <c r="C26" i="16" s="1"/>
  <c r="A26" i="16"/>
  <c r="K25" i="16"/>
  <c r="J25" i="16"/>
  <c r="I25" i="16"/>
  <c r="H25" i="16"/>
  <c r="G25" i="16"/>
  <c r="F25" i="16"/>
  <c r="E25" i="16"/>
  <c r="B25" i="16"/>
  <c r="C25" i="16" s="1"/>
  <c r="A25" i="16"/>
  <c r="F24" i="16"/>
  <c r="G24" i="16" s="1"/>
  <c r="E24" i="16"/>
  <c r="B24" i="16"/>
  <c r="C24" i="16" s="1"/>
  <c r="A24" i="16"/>
  <c r="F23" i="16"/>
  <c r="G23" i="16" s="1"/>
  <c r="E23" i="16"/>
  <c r="B23" i="16"/>
  <c r="C23" i="16" s="1"/>
  <c r="A23" i="16"/>
  <c r="G22" i="16"/>
  <c r="F22" i="16"/>
  <c r="E22" i="16"/>
  <c r="B22" i="16"/>
  <c r="C22" i="16" s="1"/>
  <c r="A22" i="16"/>
  <c r="F21" i="16"/>
  <c r="G21" i="16" s="1"/>
  <c r="E21" i="16"/>
  <c r="B21" i="16"/>
  <c r="C21" i="16" s="1"/>
  <c r="A21" i="16"/>
  <c r="F20" i="16"/>
  <c r="G20" i="16" s="1"/>
  <c r="E20" i="16"/>
  <c r="B20" i="16"/>
  <c r="C20" i="16" s="1"/>
  <c r="A20" i="16"/>
  <c r="F19" i="16"/>
  <c r="G19" i="16" s="1"/>
  <c r="E19" i="16"/>
  <c r="B19" i="16"/>
  <c r="C19" i="16" s="1"/>
  <c r="A19" i="16"/>
  <c r="K18" i="16"/>
  <c r="J18" i="16"/>
  <c r="I18" i="16"/>
  <c r="H18" i="16"/>
  <c r="G18" i="16"/>
  <c r="F18" i="16"/>
  <c r="E18" i="16"/>
  <c r="B18" i="16"/>
  <c r="C18" i="16" s="1"/>
  <c r="A18" i="16"/>
  <c r="F17" i="16"/>
  <c r="G17" i="16" s="1"/>
  <c r="E17" i="16"/>
  <c r="B17" i="16"/>
  <c r="C17" i="16" s="1"/>
  <c r="A17" i="16"/>
  <c r="F16" i="16"/>
  <c r="G16" i="16" s="1"/>
  <c r="E16" i="16"/>
  <c r="B16" i="16"/>
  <c r="C16" i="16" s="1"/>
  <c r="A16" i="16"/>
  <c r="F15" i="16"/>
  <c r="G15" i="16" s="1"/>
  <c r="E15" i="16"/>
  <c r="B15" i="16"/>
  <c r="C15" i="16" s="1"/>
  <c r="A15" i="16"/>
  <c r="F14" i="16"/>
  <c r="G14" i="16" s="1"/>
  <c r="E14" i="16"/>
  <c r="B14" i="16"/>
  <c r="C14" i="16" s="1"/>
  <c r="A14" i="16"/>
  <c r="F13" i="16"/>
  <c r="G13" i="16" s="1"/>
  <c r="E13" i="16"/>
  <c r="B13" i="16"/>
  <c r="C13" i="16" s="1"/>
  <c r="A13" i="16"/>
  <c r="F12" i="16"/>
  <c r="G12" i="16" s="1"/>
  <c r="E12" i="16"/>
  <c r="B12" i="16"/>
  <c r="C12" i="16" s="1"/>
  <c r="A12" i="16"/>
  <c r="K11" i="16"/>
  <c r="J11" i="16"/>
  <c r="I11" i="16"/>
  <c r="H11" i="16"/>
  <c r="G11" i="16"/>
  <c r="F11" i="16"/>
  <c r="E11" i="16"/>
  <c r="B11" i="16"/>
  <c r="C11" i="16" s="1"/>
  <c r="A11" i="16"/>
  <c r="G10" i="16"/>
  <c r="F10" i="16"/>
  <c r="E10" i="16"/>
  <c r="B10" i="16"/>
  <c r="C10" i="16" s="1"/>
  <c r="A10" i="16"/>
  <c r="F9" i="16"/>
  <c r="G9" i="16" s="1"/>
  <c r="E9" i="16"/>
  <c r="B9" i="16"/>
  <c r="C9" i="16" s="1"/>
  <c r="A9" i="16"/>
  <c r="F8" i="16"/>
  <c r="G8" i="16" s="1"/>
  <c r="E8" i="16"/>
  <c r="B8" i="16"/>
  <c r="C8" i="16" s="1"/>
  <c r="A8" i="16"/>
  <c r="D6" i="16"/>
  <c r="D5" i="16"/>
  <c r="A2" i="16"/>
  <c r="L40" i="15"/>
  <c r="A40" i="15"/>
  <c r="F35" i="15"/>
  <c r="G35" i="15" s="1"/>
  <c r="E35" i="15"/>
  <c r="B35" i="15"/>
  <c r="C35" i="15" s="1"/>
  <c r="A35" i="15"/>
  <c r="F34" i="15"/>
  <c r="G34" i="15" s="1"/>
  <c r="E34" i="15"/>
  <c r="B34" i="15"/>
  <c r="C34" i="15" s="1"/>
  <c r="A34" i="15"/>
  <c r="F33" i="15"/>
  <c r="G33" i="15" s="1"/>
  <c r="E33" i="15"/>
  <c r="B33" i="15"/>
  <c r="C33" i="15" s="1"/>
  <c r="A33" i="15"/>
  <c r="K32" i="15"/>
  <c r="J32" i="15"/>
  <c r="I32" i="15"/>
  <c r="H32" i="15"/>
  <c r="G32" i="15"/>
  <c r="F32" i="15"/>
  <c r="E32" i="15"/>
  <c r="B32" i="15"/>
  <c r="C32" i="15" s="1"/>
  <c r="A32" i="15"/>
  <c r="F31" i="15"/>
  <c r="G31" i="15" s="1"/>
  <c r="E31" i="15"/>
  <c r="B31" i="15"/>
  <c r="C31" i="15" s="1"/>
  <c r="A31" i="15"/>
  <c r="F30" i="15"/>
  <c r="G30" i="15" s="1"/>
  <c r="E30" i="15"/>
  <c r="B30" i="15"/>
  <c r="C30" i="15" s="1"/>
  <c r="A30" i="15"/>
  <c r="F29" i="15"/>
  <c r="G29" i="15" s="1"/>
  <c r="E29" i="15"/>
  <c r="B29" i="15"/>
  <c r="C29" i="15" s="1"/>
  <c r="A29" i="15"/>
  <c r="F28" i="15"/>
  <c r="G28" i="15" s="1"/>
  <c r="E28" i="15"/>
  <c r="B28" i="15"/>
  <c r="C28" i="15" s="1"/>
  <c r="A28" i="15"/>
  <c r="F27" i="15"/>
  <c r="G27" i="15" s="1"/>
  <c r="E27" i="15"/>
  <c r="B27" i="15"/>
  <c r="C27" i="15" s="1"/>
  <c r="A27" i="15"/>
  <c r="F26" i="15"/>
  <c r="G26" i="15" s="1"/>
  <c r="E26" i="15"/>
  <c r="B26" i="15"/>
  <c r="C26" i="15" s="1"/>
  <c r="A26" i="15"/>
  <c r="K25" i="15"/>
  <c r="J25" i="15"/>
  <c r="I25" i="15"/>
  <c r="H25" i="15"/>
  <c r="G25" i="15"/>
  <c r="F25" i="15"/>
  <c r="E25" i="15"/>
  <c r="B25" i="15"/>
  <c r="C25" i="15" s="1"/>
  <c r="A25" i="15"/>
  <c r="F24" i="15"/>
  <c r="G24" i="15" s="1"/>
  <c r="E24" i="15"/>
  <c r="B24" i="15"/>
  <c r="C24" i="15" s="1"/>
  <c r="A24" i="15"/>
  <c r="F23" i="15"/>
  <c r="G23" i="15" s="1"/>
  <c r="E23" i="15"/>
  <c r="B23" i="15"/>
  <c r="C23" i="15" s="1"/>
  <c r="A23" i="15"/>
  <c r="F22" i="15"/>
  <c r="G22" i="15" s="1"/>
  <c r="E22" i="15"/>
  <c r="B22" i="15"/>
  <c r="C22" i="15" s="1"/>
  <c r="A22" i="15"/>
  <c r="F21" i="15"/>
  <c r="G21" i="15" s="1"/>
  <c r="E21" i="15"/>
  <c r="B21" i="15"/>
  <c r="C21" i="15" s="1"/>
  <c r="A21" i="15"/>
  <c r="F20" i="15"/>
  <c r="G20" i="15" s="1"/>
  <c r="E20" i="15"/>
  <c r="B20" i="15"/>
  <c r="C20" i="15" s="1"/>
  <c r="A20" i="15"/>
  <c r="F19" i="15"/>
  <c r="G19" i="15" s="1"/>
  <c r="E19" i="15"/>
  <c r="B19" i="15"/>
  <c r="C19" i="15" s="1"/>
  <c r="A19" i="15"/>
  <c r="K18" i="15"/>
  <c r="J18" i="15"/>
  <c r="I18" i="15"/>
  <c r="H18" i="15"/>
  <c r="G18" i="15"/>
  <c r="F18" i="15"/>
  <c r="E18" i="15"/>
  <c r="B18" i="15"/>
  <c r="C18" i="15" s="1"/>
  <c r="A18" i="15"/>
  <c r="F17" i="15"/>
  <c r="G17" i="15" s="1"/>
  <c r="E17" i="15"/>
  <c r="B17" i="15"/>
  <c r="C17" i="15" s="1"/>
  <c r="A17" i="15"/>
  <c r="F16" i="15"/>
  <c r="G16" i="15" s="1"/>
  <c r="E16" i="15"/>
  <c r="B16" i="15"/>
  <c r="C16" i="15" s="1"/>
  <c r="A16" i="15"/>
  <c r="F15" i="15"/>
  <c r="G15" i="15" s="1"/>
  <c r="E15" i="15"/>
  <c r="B15" i="15"/>
  <c r="C15" i="15" s="1"/>
  <c r="A15" i="15"/>
  <c r="F14" i="15"/>
  <c r="G14" i="15" s="1"/>
  <c r="E14" i="15"/>
  <c r="B14" i="15"/>
  <c r="C14" i="15" s="1"/>
  <c r="A14" i="15"/>
  <c r="F13" i="15"/>
  <c r="G13" i="15" s="1"/>
  <c r="E13" i="15"/>
  <c r="B13" i="15"/>
  <c r="C13" i="15" s="1"/>
  <c r="A13" i="15"/>
  <c r="F12" i="15"/>
  <c r="G12" i="15" s="1"/>
  <c r="E12" i="15"/>
  <c r="B12" i="15"/>
  <c r="C12" i="15" s="1"/>
  <c r="A12" i="15"/>
  <c r="K11" i="15"/>
  <c r="J11" i="15"/>
  <c r="I11" i="15"/>
  <c r="H11" i="15"/>
  <c r="G11" i="15"/>
  <c r="F11" i="15"/>
  <c r="E11" i="15"/>
  <c r="B11" i="15"/>
  <c r="C11" i="15" s="1"/>
  <c r="A11" i="15"/>
  <c r="F10" i="15"/>
  <c r="G10" i="15" s="1"/>
  <c r="E10" i="15"/>
  <c r="B10" i="15"/>
  <c r="C10" i="15" s="1"/>
  <c r="A10" i="15"/>
  <c r="F9" i="15"/>
  <c r="G9" i="15" s="1"/>
  <c r="E9" i="15"/>
  <c r="B9" i="15"/>
  <c r="C9" i="15" s="1"/>
  <c r="A9" i="15"/>
  <c r="F8" i="15"/>
  <c r="G8" i="15" s="1"/>
  <c r="E8" i="15"/>
  <c r="B8" i="15"/>
  <c r="C8" i="15" s="1"/>
  <c r="A8" i="15"/>
  <c r="E6" i="15"/>
  <c r="D6" i="15"/>
  <c r="E5" i="15"/>
  <c r="D5" i="15"/>
  <c r="A2" i="15"/>
  <c r="L48" i="14"/>
  <c r="J26" i="1" s="1"/>
  <c r="J38" i="1" s="1"/>
  <c r="A48" i="14"/>
  <c r="F42" i="14"/>
  <c r="G42" i="14" s="1"/>
  <c r="E42" i="14"/>
  <c r="B42" i="14"/>
  <c r="C42" i="14" s="1"/>
  <c r="A42" i="14"/>
  <c r="F41" i="14"/>
  <c r="G41" i="14" s="1"/>
  <c r="E41" i="14"/>
  <c r="B41" i="14"/>
  <c r="C41" i="14" s="1"/>
  <c r="A41" i="14"/>
  <c r="F40" i="14"/>
  <c r="G40" i="14" s="1"/>
  <c r="E40" i="14"/>
  <c r="B40" i="14"/>
  <c r="C40" i="14" s="1"/>
  <c r="A40" i="14"/>
  <c r="K39" i="14"/>
  <c r="J39" i="14"/>
  <c r="I39" i="14"/>
  <c r="H39" i="14"/>
  <c r="G39" i="14"/>
  <c r="F39" i="14"/>
  <c r="E39" i="14"/>
  <c r="B39" i="14"/>
  <c r="C39" i="14" s="1"/>
  <c r="A39" i="14"/>
  <c r="F38" i="14"/>
  <c r="G38" i="14" s="1"/>
  <c r="E38" i="14"/>
  <c r="B38" i="14"/>
  <c r="C38" i="14" s="1"/>
  <c r="A38" i="14"/>
  <c r="F37" i="14"/>
  <c r="G37" i="14" s="1"/>
  <c r="E37" i="14"/>
  <c r="B37" i="14"/>
  <c r="C37" i="14" s="1"/>
  <c r="A37" i="14"/>
  <c r="F36" i="14"/>
  <c r="G36" i="14" s="1"/>
  <c r="E36" i="14"/>
  <c r="B36" i="14"/>
  <c r="C36" i="14" s="1"/>
  <c r="A36" i="14"/>
  <c r="F35" i="14"/>
  <c r="G35" i="14" s="1"/>
  <c r="E35" i="14"/>
  <c r="B35" i="14"/>
  <c r="C35" i="14" s="1"/>
  <c r="A35" i="14"/>
  <c r="F34" i="14"/>
  <c r="G34" i="14" s="1"/>
  <c r="E34" i="14"/>
  <c r="B34" i="14"/>
  <c r="C34" i="14" s="1"/>
  <c r="A34" i="14"/>
  <c r="F33" i="14"/>
  <c r="G33" i="14" s="1"/>
  <c r="E33" i="14"/>
  <c r="B33" i="14"/>
  <c r="C33" i="14" s="1"/>
  <c r="A33" i="14"/>
  <c r="K32" i="14"/>
  <c r="J32" i="14"/>
  <c r="I32" i="14"/>
  <c r="H32" i="14"/>
  <c r="G32" i="14"/>
  <c r="F32" i="14"/>
  <c r="E32" i="14"/>
  <c r="B32" i="14"/>
  <c r="C32" i="14" s="1"/>
  <c r="A32" i="14"/>
  <c r="F31" i="14"/>
  <c r="G31" i="14" s="1"/>
  <c r="E31" i="14"/>
  <c r="B31" i="14"/>
  <c r="C31" i="14" s="1"/>
  <c r="A31" i="14"/>
  <c r="F30" i="14"/>
  <c r="G30" i="14" s="1"/>
  <c r="E30" i="14"/>
  <c r="B30" i="14"/>
  <c r="C30" i="14" s="1"/>
  <c r="A30" i="14"/>
  <c r="F29" i="14"/>
  <c r="G29" i="14" s="1"/>
  <c r="E29" i="14"/>
  <c r="B29" i="14"/>
  <c r="C29" i="14" s="1"/>
  <c r="A29" i="14"/>
  <c r="F28" i="14"/>
  <c r="G28" i="14" s="1"/>
  <c r="E28" i="14"/>
  <c r="B28" i="14"/>
  <c r="C28" i="14" s="1"/>
  <c r="A28" i="14"/>
  <c r="F27" i="14"/>
  <c r="G27" i="14" s="1"/>
  <c r="E27" i="14"/>
  <c r="B27" i="14"/>
  <c r="C27" i="14" s="1"/>
  <c r="A27" i="14"/>
  <c r="F26" i="14"/>
  <c r="G26" i="14" s="1"/>
  <c r="E26" i="14"/>
  <c r="B26" i="14"/>
  <c r="C26" i="14" s="1"/>
  <c r="A26" i="14"/>
  <c r="K25" i="14"/>
  <c r="J25" i="14"/>
  <c r="I25" i="14"/>
  <c r="H25" i="14"/>
  <c r="G25" i="14"/>
  <c r="F25" i="14"/>
  <c r="E25" i="14"/>
  <c r="B25" i="14"/>
  <c r="C25" i="14" s="1"/>
  <c r="A25" i="14"/>
  <c r="F24" i="14"/>
  <c r="G24" i="14" s="1"/>
  <c r="E24" i="14"/>
  <c r="B24" i="14"/>
  <c r="C24" i="14" s="1"/>
  <c r="A24" i="14"/>
  <c r="F23" i="14"/>
  <c r="G23" i="14" s="1"/>
  <c r="E23" i="14"/>
  <c r="B23" i="14"/>
  <c r="C23" i="14" s="1"/>
  <c r="A23" i="14"/>
  <c r="F22" i="14"/>
  <c r="G22" i="14" s="1"/>
  <c r="E22" i="14"/>
  <c r="B22" i="14"/>
  <c r="C22" i="14" s="1"/>
  <c r="A22" i="14"/>
  <c r="F21" i="14"/>
  <c r="G21" i="14" s="1"/>
  <c r="E21" i="14"/>
  <c r="B21" i="14"/>
  <c r="C21" i="14" s="1"/>
  <c r="A21" i="14"/>
  <c r="F20" i="14"/>
  <c r="G20" i="14" s="1"/>
  <c r="E20" i="14"/>
  <c r="B20" i="14"/>
  <c r="C20" i="14" s="1"/>
  <c r="A20" i="14"/>
  <c r="F19" i="14"/>
  <c r="G19" i="14" s="1"/>
  <c r="E19" i="14"/>
  <c r="B19" i="14"/>
  <c r="C19" i="14" s="1"/>
  <c r="A19" i="14"/>
  <c r="K18" i="14"/>
  <c r="J18" i="14"/>
  <c r="I18" i="14"/>
  <c r="H18" i="14"/>
  <c r="G18" i="14"/>
  <c r="F18" i="14"/>
  <c r="E18" i="14"/>
  <c r="B18" i="14"/>
  <c r="C18" i="14" s="1"/>
  <c r="A18" i="14"/>
  <c r="F17" i="14"/>
  <c r="G17" i="14" s="1"/>
  <c r="E17" i="14"/>
  <c r="B17" i="14"/>
  <c r="C17" i="14" s="1"/>
  <c r="A17" i="14"/>
  <c r="F16" i="14"/>
  <c r="G16" i="14" s="1"/>
  <c r="E16" i="14"/>
  <c r="B16" i="14"/>
  <c r="C16" i="14" s="1"/>
  <c r="A16" i="14"/>
  <c r="F15" i="14"/>
  <c r="G15" i="14" s="1"/>
  <c r="E15" i="14"/>
  <c r="B15" i="14"/>
  <c r="C15" i="14" s="1"/>
  <c r="A15" i="14"/>
  <c r="F14" i="14"/>
  <c r="G14" i="14" s="1"/>
  <c r="E14" i="14"/>
  <c r="B14" i="14"/>
  <c r="C14" i="14" s="1"/>
  <c r="A14" i="14"/>
  <c r="F13" i="14"/>
  <c r="G13" i="14" s="1"/>
  <c r="E13" i="14"/>
  <c r="B13" i="14"/>
  <c r="C13" i="14" s="1"/>
  <c r="A13" i="14"/>
  <c r="F12" i="14"/>
  <c r="G12" i="14" s="1"/>
  <c r="E12" i="14"/>
  <c r="B12" i="14"/>
  <c r="C12" i="14" s="1"/>
  <c r="A12" i="14"/>
  <c r="K11" i="14"/>
  <c r="J11" i="14"/>
  <c r="I11" i="14"/>
  <c r="H11" i="14"/>
  <c r="G11" i="14"/>
  <c r="F11" i="14"/>
  <c r="E11" i="14"/>
  <c r="C11" i="14"/>
  <c r="B11" i="14"/>
  <c r="A11" i="14"/>
  <c r="K10" i="14"/>
  <c r="J10" i="14"/>
  <c r="I10" i="14"/>
  <c r="H10" i="14"/>
  <c r="G10" i="14"/>
  <c r="F10" i="14"/>
  <c r="E10" i="14"/>
  <c r="C10" i="14"/>
  <c r="B10" i="14"/>
  <c r="A10" i="14"/>
  <c r="K9" i="14"/>
  <c r="J9" i="14"/>
  <c r="I9" i="14"/>
  <c r="H9" i="14"/>
  <c r="G9" i="14"/>
  <c r="F9" i="14"/>
  <c r="E9" i="14"/>
  <c r="C9" i="14"/>
  <c r="B9" i="14"/>
  <c r="A9" i="14"/>
  <c r="K8" i="14"/>
  <c r="J8" i="14"/>
  <c r="I8" i="14"/>
  <c r="H8" i="14"/>
  <c r="G8" i="14"/>
  <c r="F8" i="14"/>
  <c r="E8" i="14"/>
  <c r="C8" i="14"/>
  <c r="B8" i="14"/>
  <c r="A8" i="14"/>
  <c r="E6" i="14"/>
  <c r="D6" i="14"/>
  <c r="E5" i="14"/>
  <c r="D5" i="14"/>
  <c r="A2" i="14"/>
  <c r="L48" i="13"/>
  <c r="J21" i="1" s="1"/>
  <c r="A48" i="13"/>
  <c r="K42" i="13"/>
  <c r="J42" i="13"/>
  <c r="I42" i="13"/>
  <c r="H42" i="13"/>
  <c r="G42" i="13"/>
  <c r="F42" i="13"/>
  <c r="E42" i="13"/>
  <c r="C42" i="13"/>
  <c r="B42" i="13"/>
  <c r="A42" i="13"/>
  <c r="K41" i="13"/>
  <c r="J41" i="13"/>
  <c r="I41" i="13"/>
  <c r="H41" i="13"/>
  <c r="G41" i="13"/>
  <c r="F41" i="13"/>
  <c r="E41" i="13"/>
  <c r="C41" i="13"/>
  <c r="B41" i="13"/>
  <c r="A41" i="13"/>
  <c r="K40" i="13"/>
  <c r="J40" i="13"/>
  <c r="I40" i="13"/>
  <c r="H40" i="13"/>
  <c r="G40" i="13"/>
  <c r="F40" i="13"/>
  <c r="E40" i="13"/>
  <c r="C40" i="13"/>
  <c r="B40" i="13"/>
  <c r="A40" i="13"/>
  <c r="K39" i="13"/>
  <c r="J39" i="13"/>
  <c r="I39" i="13"/>
  <c r="H39" i="13"/>
  <c r="G39" i="13"/>
  <c r="F39" i="13"/>
  <c r="E39" i="13"/>
  <c r="B39" i="13"/>
  <c r="C39" i="13" s="1"/>
  <c r="A39" i="13"/>
  <c r="F38" i="13"/>
  <c r="G38" i="13" s="1"/>
  <c r="E38" i="13"/>
  <c r="B38" i="13"/>
  <c r="C38" i="13" s="1"/>
  <c r="A38" i="13"/>
  <c r="F37" i="13"/>
  <c r="G37" i="13" s="1"/>
  <c r="E37" i="13"/>
  <c r="B37" i="13"/>
  <c r="C37" i="13" s="1"/>
  <c r="A37" i="13"/>
  <c r="F36" i="13"/>
  <c r="G36" i="13" s="1"/>
  <c r="E36" i="13"/>
  <c r="B36" i="13"/>
  <c r="C36" i="13" s="1"/>
  <c r="A36" i="13"/>
  <c r="F35" i="13"/>
  <c r="G35" i="13" s="1"/>
  <c r="E35" i="13"/>
  <c r="B35" i="13"/>
  <c r="C35" i="13" s="1"/>
  <c r="A35" i="13"/>
  <c r="F34" i="13"/>
  <c r="G34" i="13" s="1"/>
  <c r="E34" i="13"/>
  <c r="B34" i="13"/>
  <c r="C34" i="13" s="1"/>
  <c r="A34" i="13"/>
  <c r="F33" i="13"/>
  <c r="G33" i="13" s="1"/>
  <c r="E33" i="13"/>
  <c r="B33" i="13"/>
  <c r="C33" i="13" s="1"/>
  <c r="A33" i="13"/>
  <c r="K32" i="13"/>
  <c r="J32" i="13"/>
  <c r="I32" i="13"/>
  <c r="H32" i="13"/>
  <c r="G32" i="13"/>
  <c r="F32" i="13"/>
  <c r="E32" i="13"/>
  <c r="B32" i="13"/>
  <c r="C32" i="13" s="1"/>
  <c r="A32" i="13"/>
  <c r="F31" i="13"/>
  <c r="G31" i="13" s="1"/>
  <c r="E31" i="13"/>
  <c r="B31" i="13"/>
  <c r="C31" i="13" s="1"/>
  <c r="A31" i="13"/>
  <c r="F30" i="13"/>
  <c r="G30" i="13" s="1"/>
  <c r="E30" i="13"/>
  <c r="B30" i="13"/>
  <c r="C30" i="13" s="1"/>
  <c r="A30" i="13"/>
  <c r="F29" i="13"/>
  <c r="G29" i="13" s="1"/>
  <c r="E29" i="13"/>
  <c r="B29" i="13"/>
  <c r="C29" i="13" s="1"/>
  <c r="A29" i="13"/>
  <c r="F28" i="13"/>
  <c r="G28" i="13" s="1"/>
  <c r="E28" i="13"/>
  <c r="B28" i="13"/>
  <c r="C28" i="13" s="1"/>
  <c r="A28" i="13"/>
  <c r="F27" i="13"/>
  <c r="G27" i="13" s="1"/>
  <c r="E27" i="13"/>
  <c r="B27" i="13"/>
  <c r="C27" i="13" s="1"/>
  <c r="A27" i="13"/>
  <c r="F26" i="13"/>
  <c r="G26" i="13" s="1"/>
  <c r="E26" i="13"/>
  <c r="B26" i="13"/>
  <c r="C26" i="13" s="1"/>
  <c r="A26" i="13"/>
  <c r="K25" i="13"/>
  <c r="J25" i="13"/>
  <c r="I25" i="13"/>
  <c r="H25" i="13"/>
  <c r="G25" i="13"/>
  <c r="F25" i="13"/>
  <c r="E25" i="13"/>
  <c r="B25" i="13"/>
  <c r="C25" i="13" s="1"/>
  <c r="A25" i="13"/>
  <c r="G24" i="13"/>
  <c r="F24" i="13"/>
  <c r="E24" i="13"/>
  <c r="B24" i="13"/>
  <c r="C24" i="13" s="1"/>
  <c r="A24" i="13"/>
  <c r="F23" i="13"/>
  <c r="G23" i="13" s="1"/>
  <c r="E23" i="13"/>
  <c r="B23" i="13"/>
  <c r="C23" i="13" s="1"/>
  <c r="A23" i="13"/>
  <c r="F22" i="13"/>
  <c r="G22" i="13" s="1"/>
  <c r="E22" i="13"/>
  <c r="B22" i="13"/>
  <c r="C22" i="13" s="1"/>
  <c r="A22" i="13"/>
  <c r="F21" i="13"/>
  <c r="G21" i="13" s="1"/>
  <c r="E21" i="13"/>
  <c r="B21" i="13"/>
  <c r="C21" i="13" s="1"/>
  <c r="A21" i="13"/>
  <c r="F20" i="13"/>
  <c r="G20" i="13" s="1"/>
  <c r="E20" i="13"/>
  <c r="B20" i="13"/>
  <c r="C20" i="13" s="1"/>
  <c r="A20" i="13"/>
  <c r="F19" i="13"/>
  <c r="G19" i="13" s="1"/>
  <c r="E19" i="13"/>
  <c r="B19" i="13"/>
  <c r="C19" i="13" s="1"/>
  <c r="A19" i="13"/>
  <c r="K18" i="13"/>
  <c r="J18" i="13"/>
  <c r="I18" i="13"/>
  <c r="H18" i="13"/>
  <c r="G18" i="13"/>
  <c r="F18" i="13"/>
  <c r="E18" i="13"/>
  <c r="B18" i="13"/>
  <c r="C18" i="13" s="1"/>
  <c r="A18" i="13"/>
  <c r="F17" i="13"/>
  <c r="G17" i="13" s="1"/>
  <c r="E17" i="13"/>
  <c r="B17" i="13"/>
  <c r="C17" i="13" s="1"/>
  <c r="A17" i="13"/>
  <c r="F16" i="13"/>
  <c r="G16" i="13" s="1"/>
  <c r="E16" i="13"/>
  <c r="B16" i="13"/>
  <c r="C16" i="13" s="1"/>
  <c r="A16" i="13"/>
  <c r="F15" i="13"/>
  <c r="G15" i="13" s="1"/>
  <c r="E15" i="13"/>
  <c r="B15" i="13"/>
  <c r="C15" i="13" s="1"/>
  <c r="A15" i="13"/>
  <c r="G14" i="13"/>
  <c r="F14" i="13"/>
  <c r="E14" i="13"/>
  <c r="B14" i="13"/>
  <c r="C14" i="13" s="1"/>
  <c r="A14" i="13"/>
  <c r="F13" i="13"/>
  <c r="G13" i="13" s="1"/>
  <c r="E13" i="13"/>
  <c r="B13" i="13"/>
  <c r="C13" i="13" s="1"/>
  <c r="A13" i="13"/>
  <c r="F12" i="13"/>
  <c r="G12" i="13" s="1"/>
  <c r="E12" i="13"/>
  <c r="B12" i="13"/>
  <c r="C12" i="13" s="1"/>
  <c r="A12" i="13"/>
  <c r="K11" i="13"/>
  <c r="J11" i="13"/>
  <c r="I11" i="13"/>
  <c r="H11" i="13"/>
  <c r="G11" i="13"/>
  <c r="F11" i="13"/>
  <c r="E11" i="13"/>
  <c r="B11" i="13"/>
  <c r="C11" i="13" s="1"/>
  <c r="A11" i="13"/>
  <c r="G10" i="13"/>
  <c r="F10" i="13"/>
  <c r="E10" i="13"/>
  <c r="B10" i="13"/>
  <c r="C10" i="13" s="1"/>
  <c r="A10" i="13"/>
  <c r="F9" i="13"/>
  <c r="G9" i="13" s="1"/>
  <c r="E9" i="13"/>
  <c r="B9" i="13"/>
  <c r="C9" i="13" s="1"/>
  <c r="L5" i="13" s="1"/>
  <c r="A9" i="13"/>
  <c r="K8" i="13"/>
  <c r="J8" i="13"/>
  <c r="I8" i="13"/>
  <c r="H8" i="13"/>
  <c r="G8" i="13"/>
  <c r="F8" i="13"/>
  <c r="E8" i="13"/>
  <c r="E6" i="13" s="1"/>
  <c r="C8" i="13"/>
  <c r="B8" i="13"/>
  <c r="A8" i="13"/>
  <c r="D6" i="13"/>
  <c r="E5" i="13"/>
  <c r="D5" i="13"/>
  <c r="A2" i="13"/>
  <c r="L56" i="12"/>
  <c r="J20" i="1" s="1"/>
  <c r="A56" i="12"/>
  <c r="K49" i="12"/>
  <c r="J49" i="12"/>
  <c r="I49" i="12"/>
  <c r="H49" i="12"/>
  <c r="G49" i="12"/>
  <c r="F49" i="12"/>
  <c r="E49" i="12"/>
  <c r="C49" i="12"/>
  <c r="B49" i="12"/>
  <c r="A49" i="12"/>
  <c r="K48" i="12"/>
  <c r="J48" i="12"/>
  <c r="I48" i="12"/>
  <c r="H48" i="12"/>
  <c r="G48" i="12"/>
  <c r="F48" i="12"/>
  <c r="E48" i="12"/>
  <c r="C48" i="12"/>
  <c r="B48" i="12"/>
  <c r="A48" i="12"/>
  <c r="K47" i="12"/>
  <c r="J47" i="12"/>
  <c r="I47" i="12"/>
  <c r="H47" i="12"/>
  <c r="G47" i="12"/>
  <c r="F47" i="12"/>
  <c r="E47" i="12"/>
  <c r="C47" i="12"/>
  <c r="B47" i="12"/>
  <c r="A47" i="12"/>
  <c r="K46" i="12"/>
  <c r="J46" i="12"/>
  <c r="I46" i="12"/>
  <c r="H46" i="12"/>
  <c r="G46" i="12"/>
  <c r="F46" i="12"/>
  <c r="E46" i="12"/>
  <c r="C46" i="12"/>
  <c r="B46" i="12"/>
  <c r="A46" i="12"/>
  <c r="K45" i="12"/>
  <c r="J45" i="12"/>
  <c r="I45" i="12"/>
  <c r="H45" i="12"/>
  <c r="G45" i="12"/>
  <c r="F45" i="12"/>
  <c r="E45" i="12"/>
  <c r="C45" i="12"/>
  <c r="B45" i="12"/>
  <c r="A45" i="12"/>
  <c r="K44" i="12"/>
  <c r="J44" i="12"/>
  <c r="I44" i="12"/>
  <c r="H44" i="12"/>
  <c r="G44" i="12"/>
  <c r="F44" i="12"/>
  <c r="E44" i="12"/>
  <c r="C44" i="12"/>
  <c r="B44" i="12"/>
  <c r="A44" i="12"/>
  <c r="G43" i="12"/>
  <c r="F43" i="12"/>
  <c r="E43" i="12"/>
  <c r="B43" i="12"/>
  <c r="C43" i="12" s="1"/>
  <c r="A43" i="12"/>
  <c r="F42" i="12"/>
  <c r="G42" i="12" s="1"/>
  <c r="E42" i="12"/>
  <c r="B42" i="12"/>
  <c r="C42" i="12" s="1"/>
  <c r="A42" i="12"/>
  <c r="F41" i="12"/>
  <c r="G41" i="12" s="1"/>
  <c r="E41" i="12"/>
  <c r="B41" i="12"/>
  <c r="C41" i="12" s="1"/>
  <c r="A41" i="12"/>
  <c r="F40" i="12"/>
  <c r="G40" i="12" s="1"/>
  <c r="E40" i="12"/>
  <c r="B40" i="12"/>
  <c r="C40" i="12" s="1"/>
  <c r="A40" i="12"/>
  <c r="K39" i="12"/>
  <c r="J39" i="12"/>
  <c r="I39" i="12"/>
  <c r="H39" i="12"/>
  <c r="G39" i="12"/>
  <c r="F39" i="12"/>
  <c r="E39" i="12"/>
  <c r="B39" i="12"/>
  <c r="C39" i="12" s="1"/>
  <c r="A39" i="12"/>
  <c r="F38" i="12"/>
  <c r="G38" i="12" s="1"/>
  <c r="E38" i="12"/>
  <c r="B38" i="12"/>
  <c r="C38" i="12" s="1"/>
  <c r="A38" i="12"/>
  <c r="G37" i="12"/>
  <c r="F37" i="12"/>
  <c r="E37" i="12"/>
  <c r="B37" i="12"/>
  <c r="C37" i="12" s="1"/>
  <c r="A37" i="12"/>
  <c r="F36" i="12"/>
  <c r="G36" i="12" s="1"/>
  <c r="E36" i="12"/>
  <c r="B36" i="12"/>
  <c r="C36" i="12" s="1"/>
  <c r="A36" i="12"/>
  <c r="F35" i="12"/>
  <c r="G35" i="12" s="1"/>
  <c r="E35" i="12"/>
  <c r="B35" i="12"/>
  <c r="C35" i="12" s="1"/>
  <c r="A35" i="12"/>
  <c r="G34" i="12"/>
  <c r="F34" i="12"/>
  <c r="E34" i="12"/>
  <c r="B34" i="12"/>
  <c r="C34" i="12" s="1"/>
  <c r="A34" i="12"/>
  <c r="I33" i="12"/>
  <c r="F33" i="12"/>
  <c r="G33" i="12" s="1"/>
  <c r="J33" i="12" s="1"/>
  <c r="K33" i="12" s="1"/>
  <c r="E33" i="12"/>
  <c r="H33" i="12" s="1"/>
  <c r="B33" i="12"/>
  <c r="C33" i="12" s="1"/>
  <c r="A33" i="12"/>
  <c r="K32" i="12"/>
  <c r="J32" i="12"/>
  <c r="I32" i="12"/>
  <c r="H32" i="12"/>
  <c r="G32" i="12"/>
  <c r="F32" i="12"/>
  <c r="E32" i="12"/>
  <c r="B32" i="12"/>
  <c r="C32" i="12" s="1"/>
  <c r="A32" i="12"/>
  <c r="F31" i="12"/>
  <c r="G31" i="12" s="1"/>
  <c r="E31" i="12"/>
  <c r="B31" i="12"/>
  <c r="C31" i="12" s="1"/>
  <c r="A31" i="12"/>
  <c r="F30" i="12"/>
  <c r="G30" i="12" s="1"/>
  <c r="E30" i="12"/>
  <c r="B30" i="12"/>
  <c r="C30" i="12" s="1"/>
  <c r="A30" i="12"/>
  <c r="F29" i="12"/>
  <c r="G29" i="12" s="1"/>
  <c r="E29" i="12"/>
  <c r="B29" i="12"/>
  <c r="C29" i="12" s="1"/>
  <c r="A29" i="12"/>
  <c r="F28" i="12"/>
  <c r="G28" i="12" s="1"/>
  <c r="E28" i="12"/>
  <c r="B28" i="12"/>
  <c r="C28" i="12" s="1"/>
  <c r="A28" i="12"/>
  <c r="F27" i="12"/>
  <c r="G27" i="12" s="1"/>
  <c r="E27" i="12"/>
  <c r="B27" i="12"/>
  <c r="C27" i="12" s="1"/>
  <c r="A27" i="12"/>
  <c r="F26" i="12"/>
  <c r="G26" i="12" s="1"/>
  <c r="E26" i="12"/>
  <c r="B26" i="12"/>
  <c r="C26" i="12" s="1"/>
  <c r="A26" i="12"/>
  <c r="K25" i="12"/>
  <c r="J25" i="12"/>
  <c r="I25" i="12"/>
  <c r="H25" i="12"/>
  <c r="G25" i="12"/>
  <c r="F25" i="12"/>
  <c r="E25" i="12"/>
  <c r="B25" i="12"/>
  <c r="C25" i="12" s="1"/>
  <c r="A25" i="12"/>
  <c r="F24" i="12"/>
  <c r="G24" i="12" s="1"/>
  <c r="E24" i="12"/>
  <c r="B24" i="12"/>
  <c r="C24" i="12" s="1"/>
  <c r="A24" i="12"/>
  <c r="F23" i="12"/>
  <c r="G23" i="12" s="1"/>
  <c r="E23" i="12"/>
  <c r="B23" i="12"/>
  <c r="C23" i="12" s="1"/>
  <c r="A23" i="12"/>
  <c r="F22" i="12"/>
  <c r="G22" i="12" s="1"/>
  <c r="E22" i="12"/>
  <c r="B22" i="12"/>
  <c r="C22" i="12" s="1"/>
  <c r="A22" i="12"/>
  <c r="F21" i="12"/>
  <c r="G21" i="12" s="1"/>
  <c r="E21" i="12"/>
  <c r="B21" i="12"/>
  <c r="C21" i="12" s="1"/>
  <c r="A21" i="12"/>
  <c r="F20" i="12"/>
  <c r="G20" i="12" s="1"/>
  <c r="E20" i="12"/>
  <c r="B20" i="12"/>
  <c r="C20" i="12" s="1"/>
  <c r="A20" i="12"/>
  <c r="F19" i="12"/>
  <c r="G19" i="12" s="1"/>
  <c r="E19" i="12"/>
  <c r="B19" i="12"/>
  <c r="C19" i="12" s="1"/>
  <c r="A19" i="12"/>
  <c r="K18" i="12"/>
  <c r="J18" i="12"/>
  <c r="I18" i="12"/>
  <c r="H18" i="12"/>
  <c r="G18" i="12"/>
  <c r="F18" i="12"/>
  <c r="E18" i="12"/>
  <c r="B18" i="12"/>
  <c r="C18" i="12" s="1"/>
  <c r="A18" i="12"/>
  <c r="F17" i="12"/>
  <c r="G17" i="12" s="1"/>
  <c r="E17" i="12"/>
  <c r="B17" i="12"/>
  <c r="C17" i="12" s="1"/>
  <c r="A17" i="12"/>
  <c r="F16" i="12"/>
  <c r="G16" i="12" s="1"/>
  <c r="E16" i="12"/>
  <c r="B16" i="12"/>
  <c r="C16" i="12" s="1"/>
  <c r="A16" i="12"/>
  <c r="F15" i="12"/>
  <c r="G15" i="12" s="1"/>
  <c r="E15" i="12"/>
  <c r="B15" i="12"/>
  <c r="C15" i="12" s="1"/>
  <c r="A15" i="12"/>
  <c r="F14" i="12"/>
  <c r="G14" i="12" s="1"/>
  <c r="E14" i="12"/>
  <c r="B14" i="12"/>
  <c r="C14" i="12" s="1"/>
  <c r="A14" i="12"/>
  <c r="K13" i="12"/>
  <c r="J13" i="12"/>
  <c r="I13" i="12"/>
  <c r="H13" i="12"/>
  <c r="G13" i="12"/>
  <c r="F13" i="12"/>
  <c r="E13" i="12"/>
  <c r="C13" i="12"/>
  <c r="B13" i="12"/>
  <c r="A13" i="12"/>
  <c r="K12" i="12"/>
  <c r="J12" i="12"/>
  <c r="I12" i="12"/>
  <c r="H12" i="12"/>
  <c r="G12" i="12"/>
  <c r="F12" i="12"/>
  <c r="E12" i="12"/>
  <c r="C12" i="12"/>
  <c r="B12" i="12"/>
  <c r="A12" i="12"/>
  <c r="K11" i="12"/>
  <c r="J11" i="12"/>
  <c r="I11" i="12"/>
  <c r="H11" i="12"/>
  <c r="G11" i="12"/>
  <c r="F11" i="12"/>
  <c r="E11" i="12"/>
  <c r="C11" i="12"/>
  <c r="B11" i="12"/>
  <c r="A11" i="12"/>
  <c r="K10" i="12"/>
  <c r="J10" i="12"/>
  <c r="I10" i="12"/>
  <c r="H10" i="12"/>
  <c r="G10" i="12"/>
  <c r="F10" i="12"/>
  <c r="E10" i="12"/>
  <c r="C10" i="12"/>
  <c r="B10" i="12"/>
  <c r="A10" i="12"/>
  <c r="K9" i="12"/>
  <c r="J9" i="12"/>
  <c r="I9" i="12"/>
  <c r="H9" i="12"/>
  <c r="G9" i="12"/>
  <c r="F9" i="12"/>
  <c r="E9" i="12"/>
  <c r="C9" i="12"/>
  <c r="B9" i="12"/>
  <c r="A9" i="12"/>
  <c r="K8" i="12"/>
  <c r="J8" i="12"/>
  <c r="I8" i="12"/>
  <c r="H8" i="12"/>
  <c r="G8" i="12"/>
  <c r="F8" i="12"/>
  <c r="E8" i="12"/>
  <c r="C8" i="12"/>
  <c r="B8" i="12"/>
  <c r="A8" i="12"/>
  <c r="D6" i="12"/>
  <c r="D5" i="12"/>
  <c r="A2" i="12"/>
  <c r="L48" i="11"/>
  <c r="J19" i="1" s="1"/>
  <c r="A48" i="11"/>
  <c r="K42" i="11"/>
  <c r="J42" i="11"/>
  <c r="I42" i="11"/>
  <c r="H42" i="11"/>
  <c r="G42" i="11"/>
  <c r="F42" i="11"/>
  <c r="E42" i="11"/>
  <c r="C42" i="11"/>
  <c r="B42" i="11"/>
  <c r="A42" i="11"/>
  <c r="F41" i="11"/>
  <c r="G41" i="11" s="1"/>
  <c r="E41" i="11"/>
  <c r="B41" i="11"/>
  <c r="C41" i="11" s="1"/>
  <c r="A41" i="11"/>
  <c r="F40" i="11"/>
  <c r="G40" i="11" s="1"/>
  <c r="E40" i="11"/>
  <c r="B40" i="11"/>
  <c r="C40" i="11" s="1"/>
  <c r="A40" i="11"/>
  <c r="K39" i="11"/>
  <c r="J39" i="11"/>
  <c r="I39" i="11"/>
  <c r="H39" i="11"/>
  <c r="G39" i="11"/>
  <c r="F39" i="11"/>
  <c r="E39" i="11"/>
  <c r="B39" i="11"/>
  <c r="C39" i="11" s="1"/>
  <c r="A39" i="11"/>
  <c r="F38" i="11"/>
  <c r="G38" i="11" s="1"/>
  <c r="E38" i="11"/>
  <c r="B38" i="11"/>
  <c r="C38" i="11" s="1"/>
  <c r="A38" i="11"/>
  <c r="F37" i="11"/>
  <c r="G37" i="11" s="1"/>
  <c r="E37" i="11"/>
  <c r="B37" i="11"/>
  <c r="C37" i="11" s="1"/>
  <c r="A37" i="11"/>
  <c r="F36" i="11"/>
  <c r="G36" i="11" s="1"/>
  <c r="E36" i="11"/>
  <c r="B36" i="11"/>
  <c r="C36" i="11" s="1"/>
  <c r="A36" i="11"/>
  <c r="F35" i="11"/>
  <c r="G35" i="11" s="1"/>
  <c r="E35" i="11"/>
  <c r="B35" i="11"/>
  <c r="C35" i="11" s="1"/>
  <c r="A35" i="11"/>
  <c r="F34" i="11"/>
  <c r="G34" i="11" s="1"/>
  <c r="E34" i="11"/>
  <c r="B34" i="11"/>
  <c r="C34" i="11" s="1"/>
  <c r="A34" i="11"/>
  <c r="F33" i="11"/>
  <c r="G33" i="11" s="1"/>
  <c r="E33" i="11"/>
  <c r="B33" i="11"/>
  <c r="C33" i="11" s="1"/>
  <c r="A33" i="11"/>
  <c r="K32" i="11"/>
  <c r="J32" i="11"/>
  <c r="I32" i="11"/>
  <c r="H32" i="11"/>
  <c r="G32" i="11"/>
  <c r="F32" i="11"/>
  <c r="E32" i="11"/>
  <c r="B32" i="11"/>
  <c r="C32" i="11" s="1"/>
  <c r="A32" i="11"/>
  <c r="F31" i="11"/>
  <c r="G31" i="11" s="1"/>
  <c r="E31" i="11"/>
  <c r="B31" i="11"/>
  <c r="C31" i="11" s="1"/>
  <c r="A31" i="11"/>
  <c r="F30" i="11"/>
  <c r="G30" i="11" s="1"/>
  <c r="E30" i="11"/>
  <c r="B30" i="11"/>
  <c r="C30" i="11" s="1"/>
  <c r="A30" i="11"/>
  <c r="F29" i="11"/>
  <c r="G29" i="11" s="1"/>
  <c r="E29" i="11"/>
  <c r="B29" i="11"/>
  <c r="C29" i="11" s="1"/>
  <c r="A29" i="11"/>
  <c r="F28" i="11"/>
  <c r="G28" i="11" s="1"/>
  <c r="E28" i="11"/>
  <c r="B28" i="11"/>
  <c r="C28" i="11" s="1"/>
  <c r="A28" i="11"/>
  <c r="F27" i="11"/>
  <c r="G27" i="11" s="1"/>
  <c r="E27" i="11"/>
  <c r="B27" i="11"/>
  <c r="C27" i="11" s="1"/>
  <c r="A27" i="11"/>
  <c r="G26" i="11"/>
  <c r="F26" i="11"/>
  <c r="E26" i="11"/>
  <c r="B26" i="11"/>
  <c r="C26" i="11" s="1"/>
  <c r="A26" i="11"/>
  <c r="K25" i="11"/>
  <c r="J25" i="11"/>
  <c r="I25" i="11"/>
  <c r="H25" i="11"/>
  <c r="G25" i="11"/>
  <c r="F25" i="11"/>
  <c r="E25" i="11"/>
  <c r="B25" i="11"/>
  <c r="C25" i="11" s="1"/>
  <c r="A25" i="11"/>
  <c r="F24" i="11"/>
  <c r="G24" i="11" s="1"/>
  <c r="E24" i="11"/>
  <c r="B24" i="11"/>
  <c r="C24" i="11" s="1"/>
  <c r="A24" i="11"/>
  <c r="H23" i="11"/>
  <c r="F23" i="11"/>
  <c r="G23" i="11" s="1"/>
  <c r="J23" i="11" s="1"/>
  <c r="K23" i="11" s="1"/>
  <c r="E23" i="11"/>
  <c r="I23" i="11" s="1"/>
  <c r="B23" i="11"/>
  <c r="C23" i="11" s="1"/>
  <c r="A23" i="11"/>
  <c r="F22" i="11"/>
  <c r="G22" i="11" s="1"/>
  <c r="E22" i="11"/>
  <c r="B22" i="11"/>
  <c r="C22" i="11" s="1"/>
  <c r="A22" i="11"/>
  <c r="F21" i="11"/>
  <c r="G21" i="11" s="1"/>
  <c r="E21" i="11"/>
  <c r="B21" i="11"/>
  <c r="C21" i="11" s="1"/>
  <c r="A21" i="11"/>
  <c r="F20" i="11"/>
  <c r="G20" i="11" s="1"/>
  <c r="E20" i="11"/>
  <c r="B20" i="11"/>
  <c r="C20" i="11" s="1"/>
  <c r="A20" i="11"/>
  <c r="I19" i="11"/>
  <c r="F19" i="11"/>
  <c r="G19" i="11" s="1"/>
  <c r="J19" i="11" s="1"/>
  <c r="K19" i="11" s="1"/>
  <c r="E19" i="11"/>
  <c r="H19" i="11" s="1"/>
  <c r="B19" i="11"/>
  <c r="C19" i="11" s="1"/>
  <c r="A19" i="11"/>
  <c r="K18" i="11"/>
  <c r="J18" i="11"/>
  <c r="I18" i="11"/>
  <c r="H18" i="11"/>
  <c r="G18" i="11"/>
  <c r="F18" i="11"/>
  <c r="E18" i="11"/>
  <c r="B18" i="11"/>
  <c r="C18" i="11" s="1"/>
  <c r="A18" i="11"/>
  <c r="F17" i="11"/>
  <c r="G17" i="11" s="1"/>
  <c r="E17" i="11"/>
  <c r="B17" i="11"/>
  <c r="C17" i="11" s="1"/>
  <c r="A17" i="11"/>
  <c r="F16" i="11"/>
  <c r="G16" i="11" s="1"/>
  <c r="E16" i="11"/>
  <c r="B16" i="11"/>
  <c r="C16" i="11" s="1"/>
  <c r="A16" i="11"/>
  <c r="H15" i="11"/>
  <c r="G15" i="11"/>
  <c r="F15" i="11"/>
  <c r="E15" i="11"/>
  <c r="I15" i="11" s="1"/>
  <c r="B15" i="11"/>
  <c r="C15" i="11" s="1"/>
  <c r="A15" i="11"/>
  <c r="F14" i="11"/>
  <c r="G14" i="11" s="1"/>
  <c r="E14" i="11"/>
  <c r="B14" i="11"/>
  <c r="C14" i="11" s="1"/>
  <c r="A14" i="11"/>
  <c r="G13" i="11"/>
  <c r="F13" i="11"/>
  <c r="E13" i="11"/>
  <c r="B13" i="11"/>
  <c r="C13" i="11" s="1"/>
  <c r="A13" i="11"/>
  <c r="H12" i="11"/>
  <c r="F12" i="11"/>
  <c r="G12" i="11" s="1"/>
  <c r="J12" i="11" s="1"/>
  <c r="E12" i="11"/>
  <c r="I12" i="11" s="1"/>
  <c r="B12" i="11"/>
  <c r="C12" i="11" s="1"/>
  <c r="A12" i="11"/>
  <c r="K11" i="11"/>
  <c r="J11" i="11"/>
  <c r="I11" i="11"/>
  <c r="H11" i="11"/>
  <c r="G11" i="11"/>
  <c r="F11" i="11"/>
  <c r="E11" i="11"/>
  <c r="B11" i="11"/>
  <c r="C11" i="11" s="1"/>
  <c r="L5" i="11" s="1"/>
  <c r="A11" i="11"/>
  <c r="K10" i="11"/>
  <c r="J10" i="11"/>
  <c r="I10" i="11"/>
  <c r="H10" i="11"/>
  <c r="G10" i="11"/>
  <c r="F10" i="11"/>
  <c r="E10" i="11"/>
  <c r="C10" i="11"/>
  <c r="B10" i="11"/>
  <c r="A10" i="11"/>
  <c r="K9" i="11"/>
  <c r="J9" i="11"/>
  <c r="I9" i="11"/>
  <c r="H9" i="11"/>
  <c r="G9" i="11"/>
  <c r="F9" i="11"/>
  <c r="E9" i="11"/>
  <c r="C9" i="11"/>
  <c r="B9" i="11"/>
  <c r="A9" i="11"/>
  <c r="K8" i="11"/>
  <c r="J8" i="11"/>
  <c r="I8" i="11"/>
  <c r="H8" i="11"/>
  <c r="G8" i="11"/>
  <c r="F8" i="11"/>
  <c r="E8" i="11"/>
  <c r="C8" i="11"/>
  <c r="B8" i="11"/>
  <c r="A8" i="11"/>
  <c r="D6" i="11"/>
  <c r="D5" i="11"/>
  <c r="A2" i="11"/>
  <c r="L48" i="10"/>
  <c r="J18" i="1" s="1"/>
  <c r="A48" i="10"/>
  <c r="K42" i="10"/>
  <c r="J42" i="10"/>
  <c r="I42" i="10"/>
  <c r="H42" i="10"/>
  <c r="G42" i="10"/>
  <c r="F42" i="10"/>
  <c r="E42" i="10"/>
  <c r="C42" i="10"/>
  <c r="B42" i="10"/>
  <c r="A42" i="10"/>
  <c r="K41" i="10"/>
  <c r="J41" i="10"/>
  <c r="I41" i="10"/>
  <c r="H41" i="10"/>
  <c r="G41" i="10"/>
  <c r="F41" i="10"/>
  <c r="E41" i="10"/>
  <c r="C41" i="10"/>
  <c r="B41" i="10"/>
  <c r="A41" i="10"/>
  <c r="K40" i="10"/>
  <c r="J40" i="10"/>
  <c r="I40" i="10"/>
  <c r="H40" i="10"/>
  <c r="G40" i="10"/>
  <c r="F40" i="10"/>
  <c r="E40" i="10"/>
  <c r="C40" i="10"/>
  <c r="B40" i="10"/>
  <c r="A40" i="10"/>
  <c r="K39" i="10"/>
  <c r="J39" i="10"/>
  <c r="I39" i="10"/>
  <c r="H39" i="10"/>
  <c r="G39" i="10"/>
  <c r="F39" i="10"/>
  <c r="E39" i="10"/>
  <c r="C39" i="10"/>
  <c r="B39" i="10"/>
  <c r="A39" i="10"/>
  <c r="F38" i="10"/>
  <c r="G38" i="10" s="1"/>
  <c r="E38" i="10"/>
  <c r="B38" i="10"/>
  <c r="C38" i="10" s="1"/>
  <c r="A38" i="10"/>
  <c r="F37" i="10"/>
  <c r="G37" i="10" s="1"/>
  <c r="E37" i="10"/>
  <c r="B37" i="10"/>
  <c r="C37" i="10" s="1"/>
  <c r="A37" i="10"/>
  <c r="F36" i="10"/>
  <c r="G36" i="10" s="1"/>
  <c r="E36" i="10"/>
  <c r="B36" i="10"/>
  <c r="C36" i="10" s="1"/>
  <c r="A36" i="10"/>
  <c r="F35" i="10"/>
  <c r="G35" i="10" s="1"/>
  <c r="E35" i="10"/>
  <c r="B35" i="10"/>
  <c r="C35" i="10" s="1"/>
  <c r="A35" i="10"/>
  <c r="F34" i="10"/>
  <c r="G34" i="10" s="1"/>
  <c r="E34" i="10"/>
  <c r="B34" i="10"/>
  <c r="C34" i="10" s="1"/>
  <c r="A34" i="10"/>
  <c r="F33" i="10"/>
  <c r="G33" i="10" s="1"/>
  <c r="E33" i="10"/>
  <c r="B33" i="10"/>
  <c r="C33" i="10" s="1"/>
  <c r="A33" i="10"/>
  <c r="K32" i="10"/>
  <c r="J32" i="10"/>
  <c r="I32" i="10"/>
  <c r="H32" i="10"/>
  <c r="G32" i="10"/>
  <c r="F32" i="10"/>
  <c r="E32" i="10"/>
  <c r="C32" i="10"/>
  <c r="B32" i="10"/>
  <c r="A32" i="10"/>
  <c r="F31" i="10"/>
  <c r="G31" i="10" s="1"/>
  <c r="E31" i="10"/>
  <c r="B31" i="10"/>
  <c r="C31" i="10" s="1"/>
  <c r="A31" i="10"/>
  <c r="G30" i="10"/>
  <c r="F30" i="10"/>
  <c r="E30" i="10"/>
  <c r="B30" i="10"/>
  <c r="C30" i="10" s="1"/>
  <c r="A30" i="10"/>
  <c r="G29" i="10"/>
  <c r="F29" i="10"/>
  <c r="E29" i="10"/>
  <c r="B29" i="10"/>
  <c r="C29" i="10" s="1"/>
  <c r="A29" i="10"/>
  <c r="F28" i="10"/>
  <c r="G28" i="10" s="1"/>
  <c r="E28" i="10"/>
  <c r="B28" i="10"/>
  <c r="C28" i="10" s="1"/>
  <c r="A28" i="10"/>
  <c r="F27" i="10"/>
  <c r="G27" i="10" s="1"/>
  <c r="E27" i="10"/>
  <c r="B27" i="10"/>
  <c r="C27" i="10" s="1"/>
  <c r="A27" i="10"/>
  <c r="F26" i="10"/>
  <c r="G26" i="10" s="1"/>
  <c r="E26" i="10"/>
  <c r="B26" i="10"/>
  <c r="C26" i="10" s="1"/>
  <c r="A26" i="10"/>
  <c r="K25" i="10"/>
  <c r="J25" i="10"/>
  <c r="I25" i="10"/>
  <c r="H25" i="10"/>
  <c r="G25" i="10"/>
  <c r="F25" i="10"/>
  <c r="E25" i="10"/>
  <c r="B25" i="10"/>
  <c r="C25" i="10" s="1"/>
  <c r="A25" i="10"/>
  <c r="F24" i="10"/>
  <c r="G24" i="10" s="1"/>
  <c r="E24" i="10"/>
  <c r="B24" i="10"/>
  <c r="C24" i="10" s="1"/>
  <c r="A24" i="10"/>
  <c r="F23" i="10"/>
  <c r="G23" i="10" s="1"/>
  <c r="E23" i="10"/>
  <c r="B23" i="10"/>
  <c r="C23" i="10" s="1"/>
  <c r="A23" i="10"/>
  <c r="F22" i="10"/>
  <c r="G22" i="10" s="1"/>
  <c r="E22" i="10"/>
  <c r="B22" i="10"/>
  <c r="C22" i="10" s="1"/>
  <c r="A22" i="10"/>
  <c r="F21" i="10"/>
  <c r="G21" i="10" s="1"/>
  <c r="E21" i="10"/>
  <c r="B21" i="10"/>
  <c r="C21" i="10" s="1"/>
  <c r="A21" i="10"/>
  <c r="F20" i="10"/>
  <c r="G20" i="10" s="1"/>
  <c r="E20" i="10"/>
  <c r="B20" i="10"/>
  <c r="C20" i="10" s="1"/>
  <c r="A20" i="10"/>
  <c r="F19" i="10"/>
  <c r="G19" i="10" s="1"/>
  <c r="E19" i="10"/>
  <c r="B19" i="10"/>
  <c r="C19" i="10" s="1"/>
  <c r="A19" i="10"/>
  <c r="K18" i="10"/>
  <c r="J18" i="10"/>
  <c r="I18" i="10"/>
  <c r="H18" i="10"/>
  <c r="G18" i="10"/>
  <c r="F18" i="10"/>
  <c r="E18" i="10"/>
  <c r="B18" i="10"/>
  <c r="C18" i="10" s="1"/>
  <c r="A18" i="10"/>
  <c r="F17" i="10"/>
  <c r="G17" i="10" s="1"/>
  <c r="E17" i="10"/>
  <c r="B17" i="10"/>
  <c r="C17" i="10" s="1"/>
  <c r="A17" i="10"/>
  <c r="I16" i="10"/>
  <c r="F16" i="10"/>
  <c r="G16" i="10" s="1"/>
  <c r="J16" i="10" s="1"/>
  <c r="K16" i="10" s="1"/>
  <c r="E16" i="10"/>
  <c r="H16" i="10" s="1"/>
  <c r="B16" i="10"/>
  <c r="C16" i="10" s="1"/>
  <c r="A16" i="10"/>
  <c r="G15" i="10"/>
  <c r="F15" i="10"/>
  <c r="E15" i="10"/>
  <c r="B15" i="10"/>
  <c r="C15" i="10" s="1"/>
  <c r="A15" i="10"/>
  <c r="F14" i="10"/>
  <c r="G14" i="10" s="1"/>
  <c r="E14" i="10"/>
  <c r="B14" i="10"/>
  <c r="C14" i="10" s="1"/>
  <c r="A14" i="10"/>
  <c r="F13" i="10"/>
  <c r="G13" i="10" s="1"/>
  <c r="E13" i="10"/>
  <c r="B13" i="10"/>
  <c r="C13" i="10" s="1"/>
  <c r="A13" i="10"/>
  <c r="G12" i="10"/>
  <c r="F12" i="10"/>
  <c r="E12" i="10"/>
  <c r="B12" i="10"/>
  <c r="C12" i="10" s="1"/>
  <c r="A12" i="10"/>
  <c r="K11" i="10"/>
  <c r="J11" i="10"/>
  <c r="I11" i="10"/>
  <c r="H11" i="10"/>
  <c r="G11" i="10"/>
  <c r="F11" i="10"/>
  <c r="E11" i="10"/>
  <c r="B11" i="10"/>
  <c r="C11" i="10" s="1"/>
  <c r="A11" i="10"/>
  <c r="F10" i="10"/>
  <c r="G10" i="10" s="1"/>
  <c r="E10" i="10"/>
  <c r="B10" i="10"/>
  <c r="C10" i="10" s="1"/>
  <c r="A10" i="10"/>
  <c r="F9" i="10"/>
  <c r="G9" i="10" s="1"/>
  <c r="E9" i="10"/>
  <c r="B9" i="10"/>
  <c r="C9" i="10" s="1"/>
  <c r="L5" i="10" s="1"/>
  <c r="A9" i="10"/>
  <c r="K8" i="10"/>
  <c r="J8" i="10"/>
  <c r="I8" i="10"/>
  <c r="H8" i="10"/>
  <c r="G8" i="10"/>
  <c r="F8" i="10"/>
  <c r="E8" i="10"/>
  <c r="E6" i="10" s="1"/>
  <c r="C8" i="10"/>
  <c r="B8" i="10"/>
  <c r="A8" i="10"/>
  <c r="D6" i="10"/>
  <c r="E5" i="10"/>
  <c r="D5" i="10"/>
  <c r="A2" i="10"/>
  <c r="L56" i="9"/>
  <c r="J17" i="1" s="1"/>
  <c r="A56" i="9"/>
  <c r="K49" i="9"/>
  <c r="J49" i="9"/>
  <c r="I49" i="9"/>
  <c r="H49" i="9"/>
  <c r="G49" i="9"/>
  <c r="F49" i="9"/>
  <c r="E49" i="9"/>
  <c r="C49" i="9"/>
  <c r="B49" i="9"/>
  <c r="A49" i="9"/>
  <c r="K48" i="9"/>
  <c r="J48" i="9"/>
  <c r="I48" i="9"/>
  <c r="H48" i="9"/>
  <c r="G48" i="9"/>
  <c r="F48" i="9"/>
  <c r="E48" i="9"/>
  <c r="C48" i="9"/>
  <c r="B48" i="9"/>
  <c r="A48" i="9"/>
  <c r="K47" i="9"/>
  <c r="J47" i="9"/>
  <c r="I47" i="9"/>
  <c r="H47" i="9"/>
  <c r="G47" i="9"/>
  <c r="F47" i="9"/>
  <c r="E47" i="9"/>
  <c r="C47" i="9"/>
  <c r="B47" i="9"/>
  <c r="A47" i="9"/>
  <c r="K46" i="9"/>
  <c r="J46" i="9"/>
  <c r="I46" i="9"/>
  <c r="H46" i="9"/>
  <c r="G46" i="9"/>
  <c r="F46" i="9"/>
  <c r="E46" i="9"/>
  <c r="C46" i="9"/>
  <c r="B46" i="9"/>
  <c r="A46" i="9"/>
  <c r="K45" i="9"/>
  <c r="J45" i="9"/>
  <c r="I45" i="9"/>
  <c r="H45" i="9"/>
  <c r="G45" i="9"/>
  <c r="F45" i="9"/>
  <c r="E45" i="9"/>
  <c r="C45" i="9"/>
  <c r="B45" i="9"/>
  <c r="A45" i="9"/>
  <c r="K44" i="9"/>
  <c r="J44" i="9"/>
  <c r="I44" i="9"/>
  <c r="H44" i="9"/>
  <c r="G44" i="9"/>
  <c r="F44" i="9"/>
  <c r="E44" i="9"/>
  <c r="C44" i="9"/>
  <c r="B44" i="9"/>
  <c r="A44" i="9"/>
  <c r="F43" i="9"/>
  <c r="G43" i="9" s="1"/>
  <c r="E43" i="9"/>
  <c r="B43" i="9"/>
  <c r="C43" i="9" s="1"/>
  <c r="A43" i="9"/>
  <c r="F42" i="9"/>
  <c r="G42" i="9" s="1"/>
  <c r="E42" i="9"/>
  <c r="B42" i="9"/>
  <c r="C42" i="9" s="1"/>
  <c r="A42" i="9"/>
  <c r="F41" i="9"/>
  <c r="G41" i="9" s="1"/>
  <c r="E41" i="9"/>
  <c r="B41" i="9"/>
  <c r="C41" i="9" s="1"/>
  <c r="A41" i="9"/>
  <c r="F40" i="9"/>
  <c r="G40" i="9" s="1"/>
  <c r="E40" i="9"/>
  <c r="B40" i="9"/>
  <c r="C40" i="9" s="1"/>
  <c r="A40" i="9"/>
  <c r="K39" i="9"/>
  <c r="J39" i="9"/>
  <c r="I39" i="9"/>
  <c r="H39" i="9"/>
  <c r="G39" i="9"/>
  <c r="F39" i="9"/>
  <c r="E39" i="9"/>
  <c r="B39" i="9"/>
  <c r="C39" i="9" s="1"/>
  <c r="A39" i="9"/>
  <c r="G38" i="9"/>
  <c r="F38" i="9"/>
  <c r="E38" i="9"/>
  <c r="B38" i="9"/>
  <c r="C38" i="9" s="1"/>
  <c r="A38" i="9"/>
  <c r="F37" i="9"/>
  <c r="G37" i="9" s="1"/>
  <c r="E37" i="9"/>
  <c r="B37" i="9"/>
  <c r="C37" i="9" s="1"/>
  <c r="A37" i="9"/>
  <c r="G36" i="9"/>
  <c r="F36" i="9"/>
  <c r="E36" i="9"/>
  <c r="B36" i="9"/>
  <c r="C36" i="9" s="1"/>
  <c r="A36" i="9"/>
  <c r="F35" i="9"/>
  <c r="G35" i="9" s="1"/>
  <c r="E35" i="9"/>
  <c r="B35" i="9"/>
  <c r="C35" i="9" s="1"/>
  <c r="A35" i="9"/>
  <c r="F34" i="9"/>
  <c r="G34" i="9" s="1"/>
  <c r="E34" i="9"/>
  <c r="B34" i="9"/>
  <c r="C34" i="9" s="1"/>
  <c r="A34" i="9"/>
  <c r="G33" i="9"/>
  <c r="F33" i="9"/>
  <c r="E33" i="9"/>
  <c r="B33" i="9"/>
  <c r="C33" i="9" s="1"/>
  <c r="A33" i="9"/>
  <c r="K32" i="9"/>
  <c r="J32" i="9"/>
  <c r="I32" i="9"/>
  <c r="H32" i="9"/>
  <c r="G32" i="9"/>
  <c r="F32" i="9"/>
  <c r="E32" i="9"/>
  <c r="B32" i="9"/>
  <c r="C32" i="9" s="1"/>
  <c r="A32" i="9"/>
  <c r="I31" i="9"/>
  <c r="F31" i="9"/>
  <c r="G31" i="9" s="1"/>
  <c r="J31" i="9" s="1"/>
  <c r="K31" i="9" s="1"/>
  <c r="E31" i="9"/>
  <c r="H31" i="9" s="1"/>
  <c r="B31" i="9"/>
  <c r="C31" i="9" s="1"/>
  <c r="A31" i="9"/>
  <c r="G30" i="9"/>
  <c r="F30" i="9"/>
  <c r="E30" i="9"/>
  <c r="B30" i="9"/>
  <c r="C30" i="9" s="1"/>
  <c r="A30" i="9"/>
  <c r="F29" i="9"/>
  <c r="G29" i="9" s="1"/>
  <c r="E29" i="9"/>
  <c r="B29" i="9"/>
  <c r="C29" i="9" s="1"/>
  <c r="A29" i="9"/>
  <c r="G28" i="9"/>
  <c r="F28" i="9"/>
  <c r="E28" i="9"/>
  <c r="B28" i="9"/>
  <c r="C28" i="9" s="1"/>
  <c r="A28" i="9"/>
  <c r="F27" i="9"/>
  <c r="G27" i="9" s="1"/>
  <c r="E27" i="9"/>
  <c r="B27" i="9"/>
  <c r="C27" i="9" s="1"/>
  <c r="A27" i="9"/>
  <c r="F26" i="9"/>
  <c r="G26" i="9" s="1"/>
  <c r="E26" i="9"/>
  <c r="B26" i="9"/>
  <c r="C26" i="9" s="1"/>
  <c r="A26" i="9"/>
  <c r="K25" i="9"/>
  <c r="J25" i="9"/>
  <c r="I25" i="9"/>
  <c r="H25" i="9"/>
  <c r="G25" i="9"/>
  <c r="F25" i="9"/>
  <c r="E25" i="9"/>
  <c r="B25" i="9"/>
  <c r="C25" i="9" s="1"/>
  <c r="A25" i="9"/>
  <c r="F24" i="9"/>
  <c r="G24" i="9" s="1"/>
  <c r="E24" i="9"/>
  <c r="B24" i="9"/>
  <c r="C24" i="9" s="1"/>
  <c r="A24" i="9"/>
  <c r="F23" i="9"/>
  <c r="G23" i="9" s="1"/>
  <c r="E23" i="9"/>
  <c r="B23" i="9"/>
  <c r="C23" i="9" s="1"/>
  <c r="A23" i="9"/>
  <c r="F22" i="9"/>
  <c r="G22" i="9" s="1"/>
  <c r="E22" i="9"/>
  <c r="B22" i="9"/>
  <c r="C22" i="9" s="1"/>
  <c r="A22" i="9"/>
  <c r="F21" i="9"/>
  <c r="G21" i="9" s="1"/>
  <c r="E21" i="9"/>
  <c r="B21" i="9"/>
  <c r="C21" i="9" s="1"/>
  <c r="A21" i="9"/>
  <c r="F20" i="9"/>
  <c r="G20" i="9" s="1"/>
  <c r="E20" i="9"/>
  <c r="B20" i="9"/>
  <c r="C20" i="9" s="1"/>
  <c r="A20" i="9"/>
  <c r="F19" i="9"/>
  <c r="G19" i="9" s="1"/>
  <c r="E19" i="9"/>
  <c r="B19" i="9"/>
  <c r="C19" i="9" s="1"/>
  <c r="A19" i="9"/>
  <c r="K18" i="9"/>
  <c r="J18" i="9"/>
  <c r="I18" i="9"/>
  <c r="H18" i="9"/>
  <c r="G18" i="9"/>
  <c r="F18" i="9"/>
  <c r="E18" i="9"/>
  <c r="B18" i="9"/>
  <c r="C18" i="9" s="1"/>
  <c r="A18" i="9"/>
  <c r="F17" i="9"/>
  <c r="G17" i="9" s="1"/>
  <c r="E17" i="9"/>
  <c r="B17" i="9"/>
  <c r="C17" i="9" s="1"/>
  <c r="A17" i="9"/>
  <c r="F16" i="9"/>
  <c r="G16" i="9" s="1"/>
  <c r="E16" i="9"/>
  <c r="B16" i="9"/>
  <c r="C16" i="9" s="1"/>
  <c r="A16" i="9"/>
  <c r="F15" i="9"/>
  <c r="G15" i="9" s="1"/>
  <c r="E15" i="9"/>
  <c r="B15" i="9"/>
  <c r="C15" i="9" s="1"/>
  <c r="A15" i="9"/>
  <c r="F14" i="9"/>
  <c r="G14" i="9" s="1"/>
  <c r="E14" i="9"/>
  <c r="B14" i="9"/>
  <c r="C14" i="9" s="1"/>
  <c r="A14" i="9"/>
  <c r="F13" i="9"/>
  <c r="G13" i="9" s="1"/>
  <c r="E13" i="9"/>
  <c r="B13" i="9"/>
  <c r="C13" i="9" s="1"/>
  <c r="A13" i="9"/>
  <c r="K12" i="9"/>
  <c r="J12" i="9"/>
  <c r="I12" i="9"/>
  <c r="H12" i="9"/>
  <c r="G12" i="9"/>
  <c r="F12" i="9"/>
  <c r="E12" i="9"/>
  <c r="C12" i="9"/>
  <c r="B12" i="9"/>
  <c r="A12" i="9"/>
  <c r="K11" i="9"/>
  <c r="J11" i="9"/>
  <c r="I11" i="9"/>
  <c r="H11" i="9"/>
  <c r="G11" i="9"/>
  <c r="F11" i="9"/>
  <c r="E11" i="9"/>
  <c r="C11" i="9"/>
  <c r="B11" i="9"/>
  <c r="A11" i="9"/>
  <c r="K10" i="9"/>
  <c r="J10" i="9"/>
  <c r="I10" i="9"/>
  <c r="H10" i="9"/>
  <c r="G10" i="9"/>
  <c r="F10" i="9"/>
  <c r="E10" i="9"/>
  <c r="C10" i="9"/>
  <c r="B10" i="9"/>
  <c r="A10" i="9"/>
  <c r="K9" i="9"/>
  <c r="J9" i="9"/>
  <c r="I9" i="9"/>
  <c r="H9" i="9"/>
  <c r="G9" i="9"/>
  <c r="F9" i="9"/>
  <c r="E9" i="9"/>
  <c r="C9" i="9"/>
  <c r="B9" i="9"/>
  <c r="A9" i="9"/>
  <c r="K8" i="9"/>
  <c r="J8" i="9"/>
  <c r="I8" i="9"/>
  <c r="H8" i="9"/>
  <c r="G8" i="9"/>
  <c r="F8" i="9"/>
  <c r="E8" i="9"/>
  <c r="C8" i="9"/>
  <c r="B8" i="9"/>
  <c r="A8" i="9"/>
  <c r="D6" i="9"/>
  <c r="D5" i="9"/>
  <c r="A2" i="9"/>
  <c r="L48" i="8"/>
  <c r="J16" i="1" s="1"/>
  <c r="A48" i="8"/>
  <c r="K42" i="8"/>
  <c r="J42" i="8"/>
  <c r="I42" i="8"/>
  <c r="H42" i="8"/>
  <c r="G42" i="8"/>
  <c r="F42" i="8"/>
  <c r="E42" i="8"/>
  <c r="C42" i="8"/>
  <c r="B42" i="8"/>
  <c r="A42" i="8"/>
  <c r="K41" i="8"/>
  <c r="J41" i="8"/>
  <c r="I41" i="8"/>
  <c r="H41" i="8"/>
  <c r="G41" i="8"/>
  <c r="F41" i="8"/>
  <c r="E41" i="8"/>
  <c r="C41" i="8"/>
  <c r="B41" i="8"/>
  <c r="A41" i="8"/>
  <c r="F40" i="8"/>
  <c r="G40" i="8" s="1"/>
  <c r="E40" i="8"/>
  <c r="B40" i="8"/>
  <c r="C40" i="8" s="1"/>
  <c r="A40" i="8"/>
  <c r="K39" i="8"/>
  <c r="J39" i="8"/>
  <c r="I39" i="8"/>
  <c r="H39" i="8"/>
  <c r="G39" i="8"/>
  <c r="F39" i="8"/>
  <c r="E39" i="8"/>
  <c r="B39" i="8"/>
  <c r="C39" i="8" s="1"/>
  <c r="A39" i="8"/>
  <c r="F38" i="8"/>
  <c r="G38" i="8" s="1"/>
  <c r="E38" i="8"/>
  <c r="B38" i="8"/>
  <c r="C38" i="8" s="1"/>
  <c r="A38" i="8"/>
  <c r="F37" i="8"/>
  <c r="G37" i="8" s="1"/>
  <c r="E37" i="8"/>
  <c r="B37" i="8"/>
  <c r="C37" i="8" s="1"/>
  <c r="A37" i="8"/>
  <c r="F36" i="8"/>
  <c r="G36" i="8" s="1"/>
  <c r="E36" i="8"/>
  <c r="B36" i="8"/>
  <c r="C36" i="8" s="1"/>
  <c r="A36" i="8"/>
  <c r="F35" i="8"/>
  <c r="G35" i="8" s="1"/>
  <c r="E35" i="8"/>
  <c r="B35" i="8"/>
  <c r="C35" i="8" s="1"/>
  <c r="A35" i="8"/>
  <c r="F34" i="8"/>
  <c r="G34" i="8" s="1"/>
  <c r="E34" i="8"/>
  <c r="B34" i="8"/>
  <c r="C34" i="8" s="1"/>
  <c r="A34" i="8"/>
  <c r="F33" i="8"/>
  <c r="G33" i="8" s="1"/>
  <c r="E33" i="8"/>
  <c r="B33" i="8"/>
  <c r="C33" i="8" s="1"/>
  <c r="A33" i="8"/>
  <c r="K32" i="8"/>
  <c r="J32" i="8"/>
  <c r="I32" i="8"/>
  <c r="H32" i="8"/>
  <c r="G32" i="8"/>
  <c r="F32" i="8"/>
  <c r="E32" i="8"/>
  <c r="B32" i="8"/>
  <c r="C32" i="8" s="1"/>
  <c r="A32" i="8"/>
  <c r="F31" i="8"/>
  <c r="G31" i="8" s="1"/>
  <c r="E31" i="8"/>
  <c r="B31" i="8"/>
  <c r="C31" i="8" s="1"/>
  <c r="A31" i="8"/>
  <c r="F30" i="8"/>
  <c r="G30" i="8" s="1"/>
  <c r="E30" i="8"/>
  <c r="B30" i="8"/>
  <c r="C30" i="8" s="1"/>
  <c r="A30" i="8"/>
  <c r="F29" i="8"/>
  <c r="G29" i="8" s="1"/>
  <c r="E29" i="8"/>
  <c r="B29" i="8"/>
  <c r="C29" i="8" s="1"/>
  <c r="A29" i="8"/>
  <c r="F28" i="8"/>
  <c r="G28" i="8" s="1"/>
  <c r="E28" i="8"/>
  <c r="B28" i="8"/>
  <c r="C28" i="8" s="1"/>
  <c r="A28" i="8"/>
  <c r="F27" i="8"/>
  <c r="G27" i="8" s="1"/>
  <c r="E27" i="8"/>
  <c r="B27" i="8"/>
  <c r="C27" i="8" s="1"/>
  <c r="A27" i="8"/>
  <c r="F26" i="8"/>
  <c r="G26" i="8" s="1"/>
  <c r="E26" i="8"/>
  <c r="B26" i="8"/>
  <c r="C26" i="8" s="1"/>
  <c r="A26" i="8"/>
  <c r="K25" i="8"/>
  <c r="J25" i="8"/>
  <c r="I25" i="8"/>
  <c r="H25" i="8"/>
  <c r="G25" i="8"/>
  <c r="F25" i="8"/>
  <c r="E25" i="8"/>
  <c r="B25" i="8"/>
  <c r="C25" i="8" s="1"/>
  <c r="A25" i="8"/>
  <c r="F24" i="8"/>
  <c r="G24" i="8" s="1"/>
  <c r="E24" i="8"/>
  <c r="B24" i="8"/>
  <c r="C24" i="8" s="1"/>
  <c r="A24" i="8"/>
  <c r="F23" i="8"/>
  <c r="G23" i="8" s="1"/>
  <c r="E23" i="8"/>
  <c r="B23" i="8"/>
  <c r="C23" i="8" s="1"/>
  <c r="A23" i="8"/>
  <c r="F22" i="8"/>
  <c r="G22" i="8" s="1"/>
  <c r="E22" i="8"/>
  <c r="B22" i="8"/>
  <c r="C22" i="8" s="1"/>
  <c r="A22" i="8"/>
  <c r="F21" i="8"/>
  <c r="G21" i="8" s="1"/>
  <c r="E21" i="8"/>
  <c r="B21" i="8"/>
  <c r="C21" i="8" s="1"/>
  <c r="A21" i="8"/>
  <c r="F20" i="8"/>
  <c r="G20" i="8" s="1"/>
  <c r="E20" i="8"/>
  <c r="B20" i="8"/>
  <c r="C20" i="8" s="1"/>
  <c r="A20" i="8"/>
  <c r="F19" i="8"/>
  <c r="G19" i="8" s="1"/>
  <c r="E19" i="8"/>
  <c r="B19" i="8"/>
  <c r="C19" i="8" s="1"/>
  <c r="A19" i="8"/>
  <c r="K18" i="8"/>
  <c r="J18" i="8"/>
  <c r="I18" i="8"/>
  <c r="H18" i="8"/>
  <c r="G18" i="8"/>
  <c r="F18" i="8"/>
  <c r="E18" i="8"/>
  <c r="B18" i="8"/>
  <c r="C18" i="8" s="1"/>
  <c r="A18" i="8"/>
  <c r="F17" i="8"/>
  <c r="G17" i="8" s="1"/>
  <c r="E17" i="8"/>
  <c r="B17" i="8"/>
  <c r="C17" i="8" s="1"/>
  <c r="A17" i="8"/>
  <c r="F16" i="8"/>
  <c r="G16" i="8" s="1"/>
  <c r="E16" i="8"/>
  <c r="B16" i="8"/>
  <c r="C16" i="8" s="1"/>
  <c r="A16" i="8"/>
  <c r="F15" i="8"/>
  <c r="G15" i="8" s="1"/>
  <c r="E15" i="8"/>
  <c r="B15" i="8"/>
  <c r="C15" i="8" s="1"/>
  <c r="A15" i="8"/>
  <c r="F14" i="8"/>
  <c r="G14" i="8" s="1"/>
  <c r="E14" i="8"/>
  <c r="B14" i="8"/>
  <c r="C14" i="8" s="1"/>
  <c r="A14" i="8"/>
  <c r="F13" i="8"/>
  <c r="G13" i="8" s="1"/>
  <c r="E13" i="8"/>
  <c r="B13" i="8"/>
  <c r="C13" i="8" s="1"/>
  <c r="A13" i="8"/>
  <c r="F12" i="8"/>
  <c r="G12" i="8" s="1"/>
  <c r="E12" i="8"/>
  <c r="B12" i="8"/>
  <c r="C12" i="8" s="1"/>
  <c r="A12" i="8"/>
  <c r="K11" i="8"/>
  <c r="J11" i="8"/>
  <c r="I11" i="8"/>
  <c r="H11" i="8"/>
  <c r="G11" i="8"/>
  <c r="F11" i="8"/>
  <c r="E11" i="8"/>
  <c r="B11" i="8"/>
  <c r="C11" i="8" s="1"/>
  <c r="A11" i="8"/>
  <c r="F10" i="8"/>
  <c r="G10" i="8" s="1"/>
  <c r="E10" i="8"/>
  <c r="B10" i="8"/>
  <c r="C10" i="8" s="1"/>
  <c r="A10" i="8"/>
  <c r="K9" i="8"/>
  <c r="J9" i="8"/>
  <c r="I9" i="8"/>
  <c r="H9" i="8"/>
  <c r="G9" i="8"/>
  <c r="F9" i="8"/>
  <c r="E9" i="8"/>
  <c r="C9" i="8"/>
  <c r="B9" i="8"/>
  <c r="A9" i="8"/>
  <c r="K8" i="8"/>
  <c r="J8" i="8"/>
  <c r="I8" i="8"/>
  <c r="H8" i="8"/>
  <c r="G8" i="8"/>
  <c r="F8" i="8"/>
  <c r="E8" i="8"/>
  <c r="C8" i="8"/>
  <c r="B8" i="8"/>
  <c r="A8" i="8"/>
  <c r="E6" i="8"/>
  <c r="D6" i="8"/>
  <c r="E5" i="8"/>
  <c r="D5" i="8"/>
  <c r="A2" i="8"/>
  <c r="L48" i="7"/>
  <c r="J15" i="1" s="1"/>
  <c r="A48" i="7"/>
  <c r="K42" i="7"/>
  <c r="J42" i="7"/>
  <c r="I42" i="7"/>
  <c r="H42" i="7"/>
  <c r="G42" i="7"/>
  <c r="F42" i="7"/>
  <c r="E42" i="7"/>
  <c r="C42" i="7"/>
  <c r="B42" i="7"/>
  <c r="A42" i="7"/>
  <c r="K41" i="7"/>
  <c r="J41" i="7"/>
  <c r="I41" i="7"/>
  <c r="H41" i="7"/>
  <c r="G41" i="7"/>
  <c r="F41" i="7"/>
  <c r="E41" i="7"/>
  <c r="C41" i="7"/>
  <c r="B41" i="7"/>
  <c r="A41" i="7"/>
  <c r="K40" i="7"/>
  <c r="J40" i="7"/>
  <c r="I40" i="7"/>
  <c r="H40" i="7"/>
  <c r="G40" i="7"/>
  <c r="F40" i="7"/>
  <c r="E40" i="7"/>
  <c r="C40" i="7"/>
  <c r="B40" i="7"/>
  <c r="A40" i="7"/>
  <c r="K39" i="7"/>
  <c r="J39" i="7"/>
  <c r="I39" i="7"/>
  <c r="H39" i="7"/>
  <c r="G39" i="7"/>
  <c r="F39" i="7"/>
  <c r="E39" i="7"/>
  <c r="C39" i="7"/>
  <c r="B39" i="7"/>
  <c r="A39" i="7"/>
  <c r="K38" i="7"/>
  <c r="J38" i="7"/>
  <c r="I38" i="7"/>
  <c r="H38" i="7"/>
  <c r="G38" i="7"/>
  <c r="F38" i="7"/>
  <c r="E38" i="7"/>
  <c r="C38" i="7"/>
  <c r="B38" i="7"/>
  <c r="A38" i="7"/>
  <c r="F37" i="7"/>
  <c r="G37" i="7" s="1"/>
  <c r="E37" i="7"/>
  <c r="B37" i="7"/>
  <c r="C37" i="7" s="1"/>
  <c r="A37" i="7"/>
  <c r="F36" i="7"/>
  <c r="G36" i="7" s="1"/>
  <c r="E36" i="7"/>
  <c r="B36" i="7"/>
  <c r="C36" i="7" s="1"/>
  <c r="A36" i="7"/>
  <c r="F35" i="7"/>
  <c r="G35" i="7" s="1"/>
  <c r="E35" i="7"/>
  <c r="B35" i="7"/>
  <c r="C35" i="7" s="1"/>
  <c r="A35" i="7"/>
  <c r="F34" i="7"/>
  <c r="G34" i="7" s="1"/>
  <c r="E34" i="7"/>
  <c r="B34" i="7"/>
  <c r="C34" i="7" s="1"/>
  <c r="A34" i="7"/>
  <c r="F33" i="7"/>
  <c r="G33" i="7" s="1"/>
  <c r="E33" i="7"/>
  <c r="B33" i="7"/>
  <c r="C33" i="7" s="1"/>
  <c r="A33" i="7"/>
  <c r="K32" i="7"/>
  <c r="J32" i="7"/>
  <c r="I32" i="7"/>
  <c r="H32" i="7"/>
  <c r="G32" i="7"/>
  <c r="F32" i="7"/>
  <c r="E32" i="7"/>
  <c r="B32" i="7"/>
  <c r="C32" i="7" s="1"/>
  <c r="A32" i="7"/>
  <c r="F31" i="7"/>
  <c r="G31" i="7" s="1"/>
  <c r="E31" i="7"/>
  <c r="B31" i="7"/>
  <c r="C31" i="7" s="1"/>
  <c r="A31" i="7"/>
  <c r="F30" i="7"/>
  <c r="G30" i="7" s="1"/>
  <c r="E30" i="7"/>
  <c r="B30" i="7"/>
  <c r="C30" i="7" s="1"/>
  <c r="A30" i="7"/>
  <c r="F29" i="7"/>
  <c r="G29" i="7" s="1"/>
  <c r="E29" i="7"/>
  <c r="B29" i="7"/>
  <c r="C29" i="7" s="1"/>
  <c r="A29" i="7"/>
  <c r="F28" i="7"/>
  <c r="G28" i="7" s="1"/>
  <c r="E28" i="7"/>
  <c r="B28" i="7"/>
  <c r="C28" i="7" s="1"/>
  <c r="A28" i="7"/>
  <c r="G27" i="7"/>
  <c r="F27" i="7"/>
  <c r="E27" i="7"/>
  <c r="B27" i="7"/>
  <c r="C27" i="7" s="1"/>
  <c r="A27" i="7"/>
  <c r="F26" i="7"/>
  <c r="G26" i="7" s="1"/>
  <c r="E26" i="7"/>
  <c r="B26" i="7"/>
  <c r="C26" i="7" s="1"/>
  <c r="A26" i="7"/>
  <c r="K25" i="7"/>
  <c r="J25" i="7"/>
  <c r="I25" i="7"/>
  <c r="H25" i="7"/>
  <c r="G25" i="7"/>
  <c r="F25" i="7"/>
  <c r="E25" i="7"/>
  <c r="B25" i="7"/>
  <c r="C25" i="7" s="1"/>
  <c r="A25" i="7"/>
  <c r="F24" i="7"/>
  <c r="G24" i="7" s="1"/>
  <c r="E24" i="7"/>
  <c r="B24" i="7"/>
  <c r="C24" i="7" s="1"/>
  <c r="A24" i="7"/>
  <c r="G23" i="7"/>
  <c r="F23" i="7"/>
  <c r="E23" i="7"/>
  <c r="B23" i="7"/>
  <c r="C23" i="7" s="1"/>
  <c r="A23" i="7"/>
  <c r="F22" i="7"/>
  <c r="G22" i="7" s="1"/>
  <c r="E22" i="7"/>
  <c r="B22" i="7"/>
  <c r="C22" i="7" s="1"/>
  <c r="A22" i="7"/>
  <c r="F21" i="7"/>
  <c r="G21" i="7" s="1"/>
  <c r="E21" i="7"/>
  <c r="B21" i="7"/>
  <c r="C21" i="7" s="1"/>
  <c r="A21" i="7"/>
  <c r="F20" i="7"/>
  <c r="G20" i="7" s="1"/>
  <c r="E20" i="7"/>
  <c r="B20" i="7"/>
  <c r="C20" i="7" s="1"/>
  <c r="A20" i="7"/>
  <c r="F19" i="7"/>
  <c r="G19" i="7" s="1"/>
  <c r="E19" i="7"/>
  <c r="B19" i="7"/>
  <c r="C19" i="7" s="1"/>
  <c r="A19" i="7"/>
  <c r="K18" i="7"/>
  <c r="J18" i="7"/>
  <c r="I18" i="7"/>
  <c r="H18" i="7"/>
  <c r="G18" i="7"/>
  <c r="F18" i="7"/>
  <c r="E18" i="7"/>
  <c r="B18" i="7"/>
  <c r="C18" i="7" s="1"/>
  <c r="A18" i="7"/>
  <c r="F17" i="7"/>
  <c r="G17" i="7" s="1"/>
  <c r="E17" i="7"/>
  <c r="B17" i="7"/>
  <c r="C17" i="7" s="1"/>
  <c r="A17" i="7"/>
  <c r="F16" i="7"/>
  <c r="G16" i="7" s="1"/>
  <c r="E16" i="7"/>
  <c r="B16" i="7"/>
  <c r="C16" i="7" s="1"/>
  <c r="A16" i="7"/>
  <c r="F15" i="7"/>
  <c r="G15" i="7" s="1"/>
  <c r="E15" i="7"/>
  <c r="B15" i="7"/>
  <c r="C15" i="7" s="1"/>
  <c r="A15" i="7"/>
  <c r="F14" i="7"/>
  <c r="G14" i="7" s="1"/>
  <c r="E14" i="7"/>
  <c r="B14" i="7"/>
  <c r="C14" i="7" s="1"/>
  <c r="A14" i="7"/>
  <c r="F13" i="7"/>
  <c r="G13" i="7" s="1"/>
  <c r="E13" i="7"/>
  <c r="B13" i="7"/>
  <c r="C13" i="7" s="1"/>
  <c r="A13" i="7"/>
  <c r="F12" i="7"/>
  <c r="G12" i="7" s="1"/>
  <c r="E12" i="7"/>
  <c r="B12" i="7"/>
  <c r="C12" i="7" s="1"/>
  <c r="A12" i="7"/>
  <c r="K11" i="7"/>
  <c r="J11" i="7"/>
  <c r="I11" i="7"/>
  <c r="H11" i="7"/>
  <c r="G11" i="7"/>
  <c r="F11" i="7"/>
  <c r="E11" i="7"/>
  <c r="B11" i="7"/>
  <c r="C11" i="7" s="1"/>
  <c r="A11" i="7"/>
  <c r="F10" i="7"/>
  <c r="G10" i="7" s="1"/>
  <c r="E10" i="7"/>
  <c r="B10" i="7"/>
  <c r="C10" i="7" s="1"/>
  <c r="A10" i="7"/>
  <c r="F9" i="7"/>
  <c r="G9" i="7" s="1"/>
  <c r="E9" i="7"/>
  <c r="B9" i="7"/>
  <c r="C9" i="7" s="1"/>
  <c r="A9" i="7"/>
  <c r="F8" i="7"/>
  <c r="G8" i="7" s="1"/>
  <c r="E8" i="7"/>
  <c r="B8" i="7"/>
  <c r="C8" i="7" s="1"/>
  <c r="A8" i="7"/>
  <c r="D6" i="7"/>
  <c r="E5" i="7"/>
  <c r="D5" i="7"/>
  <c r="A2" i="7"/>
  <c r="L48" i="6"/>
  <c r="J14" i="1" s="1"/>
  <c r="A48" i="6"/>
  <c r="G42" i="6"/>
  <c r="F42" i="6"/>
  <c r="E42" i="6"/>
  <c r="B42" i="6"/>
  <c r="C42" i="6" s="1"/>
  <c r="A42" i="6"/>
  <c r="F41" i="6"/>
  <c r="G41" i="6" s="1"/>
  <c r="E41" i="6"/>
  <c r="B41" i="6"/>
  <c r="C41" i="6" s="1"/>
  <c r="A41" i="6"/>
  <c r="F40" i="6"/>
  <c r="G40" i="6" s="1"/>
  <c r="E40" i="6"/>
  <c r="B40" i="6"/>
  <c r="C40" i="6" s="1"/>
  <c r="A40" i="6"/>
  <c r="K39" i="6"/>
  <c r="J39" i="6"/>
  <c r="I39" i="6"/>
  <c r="H39" i="6"/>
  <c r="G39" i="6"/>
  <c r="F39" i="6"/>
  <c r="E39" i="6"/>
  <c r="B39" i="6"/>
  <c r="C39" i="6" s="1"/>
  <c r="A39" i="6"/>
  <c r="H38" i="6"/>
  <c r="F38" i="6"/>
  <c r="G38" i="6" s="1"/>
  <c r="E38" i="6"/>
  <c r="I38" i="6" s="1"/>
  <c r="B38" i="6"/>
  <c r="C38" i="6" s="1"/>
  <c r="A38" i="6"/>
  <c r="G37" i="6"/>
  <c r="F37" i="6"/>
  <c r="E37" i="6"/>
  <c r="B37" i="6"/>
  <c r="C37" i="6" s="1"/>
  <c r="A37" i="6"/>
  <c r="F36" i="6"/>
  <c r="G36" i="6" s="1"/>
  <c r="E36" i="6"/>
  <c r="B36" i="6"/>
  <c r="C36" i="6" s="1"/>
  <c r="A36" i="6"/>
  <c r="G35" i="6"/>
  <c r="F35" i="6"/>
  <c r="E35" i="6"/>
  <c r="B35" i="6"/>
  <c r="C35" i="6" s="1"/>
  <c r="A35" i="6"/>
  <c r="G34" i="6"/>
  <c r="F34" i="6"/>
  <c r="E34" i="6"/>
  <c r="B34" i="6"/>
  <c r="C34" i="6" s="1"/>
  <c r="A34" i="6"/>
  <c r="G33" i="6"/>
  <c r="F33" i="6"/>
  <c r="E33" i="6"/>
  <c r="B33" i="6"/>
  <c r="C33" i="6" s="1"/>
  <c r="A33" i="6"/>
  <c r="K32" i="6"/>
  <c r="J32" i="6"/>
  <c r="I32" i="6"/>
  <c r="H32" i="6"/>
  <c r="G32" i="6"/>
  <c r="F32" i="6"/>
  <c r="E32" i="6"/>
  <c r="B32" i="6"/>
  <c r="C32" i="6" s="1"/>
  <c r="A32" i="6"/>
  <c r="F31" i="6"/>
  <c r="G31" i="6" s="1"/>
  <c r="E31" i="6"/>
  <c r="B31" i="6"/>
  <c r="C31" i="6" s="1"/>
  <c r="A31" i="6"/>
  <c r="F30" i="6"/>
  <c r="G30" i="6" s="1"/>
  <c r="E30" i="6"/>
  <c r="B30" i="6"/>
  <c r="C30" i="6" s="1"/>
  <c r="A30" i="6"/>
  <c r="F29" i="6"/>
  <c r="G29" i="6" s="1"/>
  <c r="E29" i="6"/>
  <c r="B29" i="6"/>
  <c r="C29" i="6" s="1"/>
  <c r="A29" i="6"/>
  <c r="F28" i="6"/>
  <c r="G28" i="6" s="1"/>
  <c r="E28" i="6"/>
  <c r="B28" i="6"/>
  <c r="C28" i="6" s="1"/>
  <c r="A28" i="6"/>
  <c r="G27" i="6"/>
  <c r="F27" i="6"/>
  <c r="E27" i="6"/>
  <c r="B27" i="6"/>
  <c r="C27" i="6" s="1"/>
  <c r="A27" i="6"/>
  <c r="F26" i="6"/>
  <c r="G26" i="6" s="1"/>
  <c r="E26" i="6"/>
  <c r="B26" i="6"/>
  <c r="C26" i="6" s="1"/>
  <c r="A26" i="6"/>
  <c r="K25" i="6"/>
  <c r="J25" i="6"/>
  <c r="I25" i="6"/>
  <c r="H25" i="6"/>
  <c r="G25" i="6"/>
  <c r="F25" i="6"/>
  <c r="E25" i="6"/>
  <c r="B25" i="6"/>
  <c r="C25" i="6" s="1"/>
  <c r="A25" i="6"/>
  <c r="F24" i="6"/>
  <c r="G24" i="6" s="1"/>
  <c r="E24" i="6"/>
  <c r="B24" i="6"/>
  <c r="C24" i="6" s="1"/>
  <c r="A24" i="6"/>
  <c r="F23" i="6"/>
  <c r="G23" i="6" s="1"/>
  <c r="E23" i="6"/>
  <c r="B23" i="6"/>
  <c r="C23" i="6" s="1"/>
  <c r="A23" i="6"/>
  <c r="F22" i="6"/>
  <c r="G22" i="6" s="1"/>
  <c r="E22" i="6"/>
  <c r="B22" i="6"/>
  <c r="C22" i="6" s="1"/>
  <c r="A22" i="6"/>
  <c r="G21" i="6"/>
  <c r="F21" i="6"/>
  <c r="E21" i="6"/>
  <c r="B21" i="6"/>
  <c r="C21" i="6" s="1"/>
  <c r="A21" i="6"/>
  <c r="F20" i="6"/>
  <c r="G20" i="6" s="1"/>
  <c r="E20" i="6"/>
  <c r="B20" i="6"/>
  <c r="C20" i="6" s="1"/>
  <c r="A20" i="6"/>
  <c r="F19" i="6"/>
  <c r="G19" i="6" s="1"/>
  <c r="E19" i="6"/>
  <c r="B19" i="6"/>
  <c r="C19" i="6" s="1"/>
  <c r="A19" i="6"/>
  <c r="K18" i="6"/>
  <c r="J18" i="6"/>
  <c r="I18" i="6"/>
  <c r="H18" i="6"/>
  <c r="G18" i="6"/>
  <c r="F18" i="6"/>
  <c r="E18" i="6"/>
  <c r="B18" i="6"/>
  <c r="C18" i="6" s="1"/>
  <c r="A18" i="6"/>
  <c r="F17" i="6"/>
  <c r="G17" i="6" s="1"/>
  <c r="E17" i="6"/>
  <c r="B17" i="6"/>
  <c r="C17" i="6" s="1"/>
  <c r="A17" i="6"/>
  <c r="F16" i="6"/>
  <c r="G16" i="6" s="1"/>
  <c r="E16" i="6"/>
  <c r="B16" i="6"/>
  <c r="C16" i="6" s="1"/>
  <c r="A16" i="6"/>
  <c r="F15" i="6"/>
  <c r="G15" i="6" s="1"/>
  <c r="E15" i="6"/>
  <c r="B15" i="6"/>
  <c r="C15" i="6" s="1"/>
  <c r="A15" i="6"/>
  <c r="F14" i="6"/>
  <c r="G14" i="6" s="1"/>
  <c r="E14" i="6"/>
  <c r="B14" i="6"/>
  <c r="C14" i="6" s="1"/>
  <c r="A14" i="6"/>
  <c r="F13" i="6"/>
  <c r="G13" i="6" s="1"/>
  <c r="E13" i="6"/>
  <c r="B13" i="6"/>
  <c r="C13" i="6" s="1"/>
  <c r="A13" i="6"/>
  <c r="F12" i="6"/>
  <c r="G12" i="6" s="1"/>
  <c r="E12" i="6"/>
  <c r="B12" i="6"/>
  <c r="C12" i="6" s="1"/>
  <c r="L5" i="6" s="1"/>
  <c r="A12" i="6"/>
  <c r="K11" i="6"/>
  <c r="J11" i="6"/>
  <c r="I11" i="6"/>
  <c r="H11" i="6"/>
  <c r="G11" i="6"/>
  <c r="F11" i="6"/>
  <c r="E11" i="6"/>
  <c r="C11" i="6"/>
  <c r="B11" i="6"/>
  <c r="A11" i="6"/>
  <c r="K10" i="6"/>
  <c r="J10" i="6"/>
  <c r="I10" i="6"/>
  <c r="H10" i="6"/>
  <c r="G10" i="6"/>
  <c r="F10" i="6"/>
  <c r="E10" i="6"/>
  <c r="C10" i="6"/>
  <c r="B10" i="6"/>
  <c r="A10" i="6"/>
  <c r="K9" i="6"/>
  <c r="J9" i="6"/>
  <c r="I9" i="6"/>
  <c r="H9" i="6"/>
  <c r="G9" i="6"/>
  <c r="F9" i="6"/>
  <c r="E9" i="6"/>
  <c r="C9" i="6"/>
  <c r="B9" i="6"/>
  <c r="A9" i="6"/>
  <c r="K8" i="6"/>
  <c r="J8" i="6"/>
  <c r="I8" i="6"/>
  <c r="H8" i="6"/>
  <c r="G8" i="6"/>
  <c r="G5" i="6" s="1"/>
  <c r="F8" i="6"/>
  <c r="E8" i="6"/>
  <c r="C8" i="6"/>
  <c r="B8" i="6"/>
  <c r="A8" i="6"/>
  <c r="D6" i="6"/>
  <c r="D5" i="6"/>
  <c r="A2" i="6"/>
  <c r="L48" i="5"/>
  <c r="J13" i="1" s="1"/>
  <c r="A48" i="5"/>
  <c r="K42" i="5"/>
  <c r="J42" i="5"/>
  <c r="I42" i="5"/>
  <c r="H42" i="5"/>
  <c r="G42" i="5"/>
  <c r="F42" i="5"/>
  <c r="E42" i="5"/>
  <c r="C42" i="5"/>
  <c r="B42" i="5"/>
  <c r="A42" i="5"/>
  <c r="K41" i="5"/>
  <c r="J41" i="5"/>
  <c r="I41" i="5"/>
  <c r="H41" i="5"/>
  <c r="G41" i="5"/>
  <c r="F41" i="5"/>
  <c r="E41" i="5"/>
  <c r="C41" i="5"/>
  <c r="B41" i="5"/>
  <c r="A41" i="5"/>
  <c r="K40" i="5"/>
  <c r="J40" i="5"/>
  <c r="I40" i="5"/>
  <c r="H40" i="5"/>
  <c r="G40" i="5"/>
  <c r="F40" i="5"/>
  <c r="E40" i="5"/>
  <c r="C40" i="5"/>
  <c r="B40" i="5"/>
  <c r="A40" i="5"/>
  <c r="K39" i="5"/>
  <c r="J39" i="5"/>
  <c r="I39" i="5"/>
  <c r="H39" i="5"/>
  <c r="G39" i="5"/>
  <c r="F39" i="5"/>
  <c r="E39" i="5"/>
  <c r="B39" i="5"/>
  <c r="C39" i="5" s="1"/>
  <c r="A39" i="5"/>
  <c r="F38" i="5"/>
  <c r="G38" i="5" s="1"/>
  <c r="E38" i="5"/>
  <c r="B38" i="5"/>
  <c r="C38" i="5" s="1"/>
  <c r="A38" i="5"/>
  <c r="F37" i="5"/>
  <c r="G37" i="5" s="1"/>
  <c r="E37" i="5"/>
  <c r="B37" i="5"/>
  <c r="C37" i="5" s="1"/>
  <c r="A37" i="5"/>
  <c r="F36" i="5"/>
  <c r="G36" i="5" s="1"/>
  <c r="E36" i="5"/>
  <c r="B36" i="5"/>
  <c r="C36" i="5" s="1"/>
  <c r="A36" i="5"/>
  <c r="F35" i="5"/>
  <c r="G35" i="5" s="1"/>
  <c r="E35" i="5"/>
  <c r="B35" i="5"/>
  <c r="C35" i="5" s="1"/>
  <c r="A35" i="5"/>
  <c r="F34" i="5"/>
  <c r="G34" i="5" s="1"/>
  <c r="E34" i="5"/>
  <c r="B34" i="5"/>
  <c r="C34" i="5" s="1"/>
  <c r="A34" i="5"/>
  <c r="F33" i="5"/>
  <c r="G33" i="5" s="1"/>
  <c r="E33" i="5"/>
  <c r="B33" i="5"/>
  <c r="C33" i="5" s="1"/>
  <c r="A33" i="5"/>
  <c r="K32" i="5"/>
  <c r="J32" i="5"/>
  <c r="I32" i="5"/>
  <c r="H32" i="5"/>
  <c r="G32" i="5"/>
  <c r="F32" i="5"/>
  <c r="E32" i="5"/>
  <c r="B32" i="5"/>
  <c r="C32" i="5" s="1"/>
  <c r="A32" i="5"/>
  <c r="F31" i="5"/>
  <c r="G31" i="5" s="1"/>
  <c r="E31" i="5"/>
  <c r="B31" i="5"/>
  <c r="C31" i="5" s="1"/>
  <c r="A31" i="5"/>
  <c r="F30" i="5"/>
  <c r="G30" i="5" s="1"/>
  <c r="E30" i="5"/>
  <c r="B30" i="5"/>
  <c r="C30" i="5" s="1"/>
  <c r="A30" i="5"/>
  <c r="F29" i="5"/>
  <c r="G29" i="5" s="1"/>
  <c r="E29" i="5"/>
  <c r="B29" i="5"/>
  <c r="C29" i="5" s="1"/>
  <c r="A29" i="5"/>
  <c r="F28" i="5"/>
  <c r="G28" i="5" s="1"/>
  <c r="E28" i="5"/>
  <c r="B28" i="5"/>
  <c r="C28" i="5" s="1"/>
  <c r="A28" i="5"/>
  <c r="F27" i="5"/>
  <c r="G27" i="5" s="1"/>
  <c r="E27" i="5"/>
  <c r="B27" i="5"/>
  <c r="C27" i="5" s="1"/>
  <c r="A27" i="5"/>
  <c r="F26" i="5"/>
  <c r="G26" i="5" s="1"/>
  <c r="E26" i="5"/>
  <c r="B26" i="5"/>
  <c r="C26" i="5" s="1"/>
  <c r="A26" i="5"/>
  <c r="K25" i="5"/>
  <c r="J25" i="5"/>
  <c r="I25" i="5"/>
  <c r="H25" i="5"/>
  <c r="G25" i="5"/>
  <c r="F25" i="5"/>
  <c r="E25" i="5"/>
  <c r="B25" i="5"/>
  <c r="C25" i="5" s="1"/>
  <c r="A25" i="5"/>
  <c r="F24" i="5"/>
  <c r="G24" i="5" s="1"/>
  <c r="E24" i="5"/>
  <c r="B24" i="5"/>
  <c r="C24" i="5" s="1"/>
  <c r="A24" i="5"/>
  <c r="F23" i="5"/>
  <c r="G23" i="5" s="1"/>
  <c r="E23" i="5"/>
  <c r="B23" i="5"/>
  <c r="C23" i="5" s="1"/>
  <c r="A23" i="5"/>
  <c r="F22" i="5"/>
  <c r="G22" i="5" s="1"/>
  <c r="E22" i="5"/>
  <c r="B22" i="5"/>
  <c r="C22" i="5" s="1"/>
  <c r="A22" i="5"/>
  <c r="F21" i="5"/>
  <c r="G21" i="5" s="1"/>
  <c r="E21" i="5"/>
  <c r="B21" i="5"/>
  <c r="C21" i="5" s="1"/>
  <c r="A21" i="5"/>
  <c r="F20" i="5"/>
  <c r="G20" i="5" s="1"/>
  <c r="E20" i="5"/>
  <c r="B20" i="5"/>
  <c r="C20" i="5" s="1"/>
  <c r="A20" i="5"/>
  <c r="F19" i="5"/>
  <c r="G19" i="5" s="1"/>
  <c r="E19" i="5"/>
  <c r="B19" i="5"/>
  <c r="C19" i="5" s="1"/>
  <c r="A19" i="5"/>
  <c r="K18" i="5"/>
  <c r="J18" i="5"/>
  <c r="I18" i="5"/>
  <c r="H18" i="5"/>
  <c r="G18" i="5"/>
  <c r="F18" i="5"/>
  <c r="E18" i="5"/>
  <c r="B18" i="5"/>
  <c r="C18" i="5" s="1"/>
  <c r="A18" i="5"/>
  <c r="F17" i="5"/>
  <c r="G17" i="5" s="1"/>
  <c r="E17" i="5"/>
  <c r="B17" i="5"/>
  <c r="C17" i="5" s="1"/>
  <c r="A17" i="5"/>
  <c r="F16" i="5"/>
  <c r="G16" i="5" s="1"/>
  <c r="E16" i="5"/>
  <c r="B16" i="5"/>
  <c r="C16" i="5" s="1"/>
  <c r="A16" i="5"/>
  <c r="F15" i="5"/>
  <c r="G15" i="5" s="1"/>
  <c r="E15" i="5"/>
  <c r="B15" i="5"/>
  <c r="C15" i="5" s="1"/>
  <c r="A15" i="5"/>
  <c r="F14" i="5"/>
  <c r="G14" i="5" s="1"/>
  <c r="E14" i="5"/>
  <c r="B14" i="5"/>
  <c r="C14" i="5" s="1"/>
  <c r="A14" i="5"/>
  <c r="F13" i="5"/>
  <c r="G13" i="5" s="1"/>
  <c r="E13" i="5"/>
  <c r="B13" i="5"/>
  <c r="C13" i="5" s="1"/>
  <c r="A13" i="5"/>
  <c r="F12" i="5"/>
  <c r="G12" i="5" s="1"/>
  <c r="E12" i="5"/>
  <c r="B12" i="5"/>
  <c r="C12" i="5" s="1"/>
  <c r="A12" i="5"/>
  <c r="K11" i="5"/>
  <c r="J11" i="5"/>
  <c r="I11" i="5"/>
  <c r="H11" i="5"/>
  <c r="G11" i="5"/>
  <c r="F11" i="5"/>
  <c r="E11" i="5"/>
  <c r="B11" i="5"/>
  <c r="C11" i="5" s="1"/>
  <c r="A11" i="5"/>
  <c r="F10" i="5"/>
  <c r="G10" i="5" s="1"/>
  <c r="E10" i="5"/>
  <c r="B10" i="5"/>
  <c r="C10" i="5" s="1"/>
  <c r="A10" i="5"/>
  <c r="K9" i="5"/>
  <c r="J9" i="5"/>
  <c r="I9" i="5"/>
  <c r="H9" i="5"/>
  <c r="G9" i="5"/>
  <c r="F9" i="5"/>
  <c r="E9" i="5"/>
  <c r="C9" i="5"/>
  <c r="B9" i="5"/>
  <c r="A9" i="5"/>
  <c r="K8" i="5"/>
  <c r="J8" i="5"/>
  <c r="I8" i="5"/>
  <c r="H8" i="5"/>
  <c r="G8" i="5"/>
  <c r="F8" i="5"/>
  <c r="E8" i="5"/>
  <c r="C8" i="5"/>
  <c r="B8" i="5"/>
  <c r="A8" i="5"/>
  <c r="E6" i="5"/>
  <c r="D6" i="5"/>
  <c r="E5" i="5"/>
  <c r="D5" i="5"/>
  <c r="A2" i="5"/>
  <c r="L56" i="4"/>
  <c r="J12" i="1" s="1"/>
  <c r="A56" i="4"/>
  <c r="K49" i="4"/>
  <c r="J49" i="4"/>
  <c r="I49" i="4"/>
  <c r="H49" i="4"/>
  <c r="G49" i="4"/>
  <c r="F49" i="4"/>
  <c r="E49" i="4"/>
  <c r="C49" i="4"/>
  <c r="B49" i="4"/>
  <c r="A49" i="4"/>
  <c r="K48" i="4"/>
  <c r="J48" i="4"/>
  <c r="I48" i="4"/>
  <c r="H48" i="4"/>
  <c r="G48" i="4"/>
  <c r="F48" i="4"/>
  <c r="E48" i="4"/>
  <c r="C48" i="4"/>
  <c r="B48" i="4"/>
  <c r="A48" i="4"/>
  <c r="K47" i="4"/>
  <c r="J47" i="4"/>
  <c r="I47" i="4"/>
  <c r="H47" i="4"/>
  <c r="G47" i="4"/>
  <c r="F47" i="4"/>
  <c r="E47" i="4"/>
  <c r="C47" i="4"/>
  <c r="B47" i="4"/>
  <c r="A47" i="4"/>
  <c r="K46" i="4"/>
  <c r="J46" i="4"/>
  <c r="I46" i="4"/>
  <c r="H46" i="4"/>
  <c r="G46" i="4"/>
  <c r="F46" i="4"/>
  <c r="E46" i="4"/>
  <c r="C46" i="4"/>
  <c r="B46" i="4"/>
  <c r="A46" i="4"/>
  <c r="K45" i="4"/>
  <c r="J45" i="4"/>
  <c r="I45" i="4"/>
  <c r="H45" i="4"/>
  <c r="G45" i="4"/>
  <c r="F45" i="4"/>
  <c r="E45" i="4"/>
  <c r="C45" i="4"/>
  <c r="B45" i="4"/>
  <c r="A45" i="4"/>
  <c r="F44" i="4"/>
  <c r="G44" i="4" s="1"/>
  <c r="E44" i="4"/>
  <c r="B44" i="4"/>
  <c r="C44" i="4" s="1"/>
  <c r="A44" i="4"/>
  <c r="F43" i="4"/>
  <c r="G43" i="4" s="1"/>
  <c r="E43" i="4"/>
  <c r="B43" i="4"/>
  <c r="C43" i="4" s="1"/>
  <c r="A43" i="4"/>
  <c r="F42" i="4"/>
  <c r="G42" i="4" s="1"/>
  <c r="E42" i="4"/>
  <c r="B42" i="4"/>
  <c r="C42" i="4" s="1"/>
  <c r="A42" i="4"/>
  <c r="F41" i="4"/>
  <c r="G41" i="4" s="1"/>
  <c r="E41" i="4"/>
  <c r="B41" i="4"/>
  <c r="C41" i="4" s="1"/>
  <c r="A41" i="4"/>
  <c r="F40" i="4"/>
  <c r="G40" i="4" s="1"/>
  <c r="E40" i="4"/>
  <c r="B40" i="4"/>
  <c r="C40" i="4" s="1"/>
  <c r="A40" i="4"/>
  <c r="K39" i="4"/>
  <c r="J39" i="4"/>
  <c r="I39" i="4"/>
  <c r="H39" i="4"/>
  <c r="G39" i="4"/>
  <c r="F39" i="4"/>
  <c r="E39" i="4"/>
  <c r="B39" i="4"/>
  <c r="C39" i="4" s="1"/>
  <c r="A39" i="4"/>
  <c r="F38" i="4"/>
  <c r="G38" i="4" s="1"/>
  <c r="E38" i="4"/>
  <c r="B38" i="4"/>
  <c r="C38" i="4" s="1"/>
  <c r="A38" i="4"/>
  <c r="F37" i="4"/>
  <c r="G37" i="4" s="1"/>
  <c r="E37" i="4"/>
  <c r="B37" i="4"/>
  <c r="C37" i="4" s="1"/>
  <c r="A37" i="4"/>
  <c r="F36" i="4"/>
  <c r="G36" i="4" s="1"/>
  <c r="E36" i="4"/>
  <c r="B36" i="4"/>
  <c r="C36" i="4" s="1"/>
  <c r="A36" i="4"/>
  <c r="F35" i="4"/>
  <c r="G35" i="4" s="1"/>
  <c r="E35" i="4"/>
  <c r="B35" i="4"/>
  <c r="C35" i="4" s="1"/>
  <c r="A35" i="4"/>
  <c r="F34" i="4"/>
  <c r="G34" i="4" s="1"/>
  <c r="E34" i="4"/>
  <c r="B34" i="4"/>
  <c r="C34" i="4" s="1"/>
  <c r="A34" i="4"/>
  <c r="F33" i="4"/>
  <c r="G33" i="4" s="1"/>
  <c r="E33" i="4"/>
  <c r="B33" i="4"/>
  <c r="C33" i="4" s="1"/>
  <c r="A33" i="4"/>
  <c r="K32" i="4"/>
  <c r="J32" i="4"/>
  <c r="I32" i="4"/>
  <c r="H32" i="4"/>
  <c r="G32" i="4"/>
  <c r="F32" i="4"/>
  <c r="E32" i="4"/>
  <c r="B32" i="4"/>
  <c r="C32" i="4" s="1"/>
  <c r="A32" i="4"/>
  <c r="F31" i="4"/>
  <c r="G31" i="4" s="1"/>
  <c r="E31" i="4"/>
  <c r="B31" i="4"/>
  <c r="C31" i="4" s="1"/>
  <c r="A31" i="4"/>
  <c r="F30" i="4"/>
  <c r="G30" i="4" s="1"/>
  <c r="E30" i="4"/>
  <c r="B30" i="4"/>
  <c r="C30" i="4" s="1"/>
  <c r="A30" i="4"/>
  <c r="F29" i="4"/>
  <c r="G29" i="4" s="1"/>
  <c r="E29" i="4"/>
  <c r="B29" i="4"/>
  <c r="C29" i="4" s="1"/>
  <c r="A29" i="4"/>
  <c r="F28" i="4"/>
  <c r="G28" i="4" s="1"/>
  <c r="E28" i="4"/>
  <c r="B28" i="4"/>
  <c r="C28" i="4" s="1"/>
  <c r="A28" i="4"/>
  <c r="F27" i="4"/>
  <c r="G27" i="4" s="1"/>
  <c r="E27" i="4"/>
  <c r="B27" i="4"/>
  <c r="C27" i="4" s="1"/>
  <c r="A27" i="4"/>
  <c r="F26" i="4"/>
  <c r="G26" i="4" s="1"/>
  <c r="E26" i="4"/>
  <c r="B26" i="4"/>
  <c r="C26" i="4" s="1"/>
  <c r="A26" i="4"/>
  <c r="K25" i="4"/>
  <c r="J25" i="4"/>
  <c r="I25" i="4"/>
  <c r="H25" i="4"/>
  <c r="G25" i="4"/>
  <c r="F25" i="4"/>
  <c r="E25" i="4"/>
  <c r="B25" i="4"/>
  <c r="C25" i="4" s="1"/>
  <c r="A25" i="4"/>
  <c r="F24" i="4"/>
  <c r="G24" i="4" s="1"/>
  <c r="E24" i="4"/>
  <c r="B24" i="4"/>
  <c r="C24" i="4" s="1"/>
  <c r="A24" i="4"/>
  <c r="F23" i="4"/>
  <c r="G23" i="4" s="1"/>
  <c r="E23" i="4"/>
  <c r="B23" i="4"/>
  <c r="C23" i="4" s="1"/>
  <c r="A23" i="4"/>
  <c r="F22" i="4"/>
  <c r="G22" i="4" s="1"/>
  <c r="E22" i="4"/>
  <c r="B22" i="4"/>
  <c r="C22" i="4" s="1"/>
  <c r="A22" i="4"/>
  <c r="F21" i="4"/>
  <c r="G21" i="4" s="1"/>
  <c r="E21" i="4"/>
  <c r="B21" i="4"/>
  <c r="C21" i="4" s="1"/>
  <c r="A21" i="4"/>
  <c r="F20" i="4"/>
  <c r="G20" i="4" s="1"/>
  <c r="E20" i="4"/>
  <c r="B20" i="4"/>
  <c r="C20" i="4" s="1"/>
  <c r="A20" i="4"/>
  <c r="F19" i="4"/>
  <c r="G19" i="4" s="1"/>
  <c r="E19" i="4"/>
  <c r="B19" i="4"/>
  <c r="C19" i="4" s="1"/>
  <c r="A19" i="4"/>
  <c r="K18" i="4"/>
  <c r="J18" i="4"/>
  <c r="I18" i="4"/>
  <c r="H18" i="4"/>
  <c r="G18" i="4"/>
  <c r="F18" i="4"/>
  <c r="E18" i="4"/>
  <c r="B18" i="4"/>
  <c r="C18" i="4" s="1"/>
  <c r="A18" i="4"/>
  <c r="F17" i="4"/>
  <c r="G17" i="4" s="1"/>
  <c r="E17" i="4"/>
  <c r="B17" i="4"/>
  <c r="C17" i="4" s="1"/>
  <c r="A17" i="4"/>
  <c r="F16" i="4"/>
  <c r="G16" i="4" s="1"/>
  <c r="E16" i="4"/>
  <c r="B16" i="4"/>
  <c r="C16" i="4" s="1"/>
  <c r="A16" i="4"/>
  <c r="F15" i="4"/>
  <c r="G15" i="4" s="1"/>
  <c r="E15" i="4"/>
  <c r="B15" i="4"/>
  <c r="C15" i="4" s="1"/>
  <c r="A15" i="4"/>
  <c r="F14" i="4"/>
  <c r="G14" i="4" s="1"/>
  <c r="E14" i="4"/>
  <c r="B14" i="4"/>
  <c r="C14" i="4" s="1"/>
  <c r="L5" i="4" s="1"/>
  <c r="A14" i="4"/>
  <c r="K13" i="4"/>
  <c r="J13" i="4"/>
  <c r="I13" i="4"/>
  <c r="H13" i="4"/>
  <c r="G13" i="4"/>
  <c r="F13" i="4"/>
  <c r="E13" i="4"/>
  <c r="C13" i="4"/>
  <c r="B13" i="4"/>
  <c r="A13" i="4"/>
  <c r="K12" i="4"/>
  <c r="J12" i="4"/>
  <c r="I12" i="4"/>
  <c r="H12" i="4"/>
  <c r="G12" i="4"/>
  <c r="F12" i="4"/>
  <c r="E12" i="4"/>
  <c r="C12" i="4"/>
  <c r="B12" i="4"/>
  <c r="A12" i="4"/>
  <c r="K11" i="4"/>
  <c r="J11" i="4"/>
  <c r="I11" i="4"/>
  <c r="H11" i="4"/>
  <c r="G11" i="4"/>
  <c r="F11" i="4"/>
  <c r="E11" i="4"/>
  <c r="C11" i="4"/>
  <c r="B11" i="4"/>
  <c r="A11" i="4"/>
  <c r="K10" i="4"/>
  <c r="J10" i="4"/>
  <c r="I10" i="4"/>
  <c r="H10" i="4"/>
  <c r="G10" i="4"/>
  <c r="F10" i="4"/>
  <c r="E10" i="4"/>
  <c r="C10" i="4"/>
  <c r="B10" i="4"/>
  <c r="A10" i="4"/>
  <c r="K9" i="4"/>
  <c r="J9" i="4"/>
  <c r="I9" i="4"/>
  <c r="H9" i="4"/>
  <c r="G9" i="4"/>
  <c r="F9" i="4"/>
  <c r="E9" i="4"/>
  <c r="C9" i="4"/>
  <c r="B9" i="4"/>
  <c r="A9" i="4"/>
  <c r="K8" i="4"/>
  <c r="J8" i="4"/>
  <c r="I8" i="4"/>
  <c r="H8" i="4"/>
  <c r="G8" i="4"/>
  <c r="F8" i="4"/>
  <c r="E8" i="4"/>
  <c r="C8" i="4"/>
  <c r="B8" i="4"/>
  <c r="A8" i="4"/>
  <c r="D6" i="4"/>
  <c r="D5" i="4"/>
  <c r="A2" i="4"/>
  <c r="L48" i="3"/>
  <c r="J11" i="1" s="1"/>
  <c r="A48" i="3"/>
  <c r="K42" i="3"/>
  <c r="J42" i="3"/>
  <c r="I42" i="3"/>
  <c r="H42" i="3"/>
  <c r="G42" i="3"/>
  <c r="F42" i="3"/>
  <c r="E42" i="3"/>
  <c r="C42" i="3"/>
  <c r="B42" i="3"/>
  <c r="A42" i="3"/>
  <c r="F41" i="3"/>
  <c r="G41" i="3" s="1"/>
  <c r="E41" i="3"/>
  <c r="B41" i="3"/>
  <c r="C41" i="3" s="1"/>
  <c r="A41" i="3"/>
  <c r="F40" i="3"/>
  <c r="G40" i="3" s="1"/>
  <c r="E40" i="3"/>
  <c r="B40" i="3"/>
  <c r="C40" i="3" s="1"/>
  <c r="A40" i="3"/>
  <c r="K39" i="3"/>
  <c r="J39" i="3"/>
  <c r="I39" i="3"/>
  <c r="H39" i="3"/>
  <c r="G39" i="3"/>
  <c r="F39" i="3"/>
  <c r="E39" i="3"/>
  <c r="B39" i="3"/>
  <c r="C39" i="3" s="1"/>
  <c r="A39" i="3"/>
  <c r="F38" i="3"/>
  <c r="G38" i="3" s="1"/>
  <c r="E38" i="3"/>
  <c r="B38" i="3"/>
  <c r="C38" i="3" s="1"/>
  <c r="A38" i="3"/>
  <c r="F37" i="3"/>
  <c r="G37" i="3" s="1"/>
  <c r="E37" i="3"/>
  <c r="B37" i="3"/>
  <c r="C37" i="3" s="1"/>
  <c r="A37" i="3"/>
  <c r="F36" i="3"/>
  <c r="G36" i="3" s="1"/>
  <c r="E36" i="3"/>
  <c r="B36" i="3"/>
  <c r="C36" i="3" s="1"/>
  <c r="A36" i="3"/>
  <c r="F35" i="3"/>
  <c r="G35" i="3" s="1"/>
  <c r="E35" i="3"/>
  <c r="B35" i="3"/>
  <c r="C35" i="3" s="1"/>
  <c r="A35" i="3"/>
  <c r="F34" i="3"/>
  <c r="G34" i="3" s="1"/>
  <c r="E34" i="3"/>
  <c r="B34" i="3"/>
  <c r="C34" i="3" s="1"/>
  <c r="A34" i="3"/>
  <c r="F33" i="3"/>
  <c r="G33" i="3" s="1"/>
  <c r="E33" i="3"/>
  <c r="B33" i="3"/>
  <c r="C33" i="3" s="1"/>
  <c r="A33" i="3"/>
  <c r="K32" i="3"/>
  <c r="J32" i="3"/>
  <c r="I32" i="3"/>
  <c r="H32" i="3"/>
  <c r="G32" i="3"/>
  <c r="F32" i="3"/>
  <c r="E32" i="3"/>
  <c r="B32" i="3"/>
  <c r="C32" i="3" s="1"/>
  <c r="A32" i="3"/>
  <c r="F31" i="3"/>
  <c r="G31" i="3" s="1"/>
  <c r="E31" i="3"/>
  <c r="B31" i="3"/>
  <c r="C31" i="3" s="1"/>
  <c r="A31" i="3"/>
  <c r="F30" i="3"/>
  <c r="G30" i="3" s="1"/>
  <c r="E30" i="3"/>
  <c r="B30" i="3"/>
  <c r="C30" i="3" s="1"/>
  <c r="A30" i="3"/>
  <c r="G29" i="3"/>
  <c r="F29" i="3"/>
  <c r="E29" i="3"/>
  <c r="B29" i="3"/>
  <c r="C29" i="3" s="1"/>
  <c r="A29" i="3"/>
  <c r="F28" i="3"/>
  <c r="G28" i="3" s="1"/>
  <c r="E28" i="3"/>
  <c r="B28" i="3"/>
  <c r="C28" i="3" s="1"/>
  <c r="A28" i="3"/>
  <c r="F27" i="3"/>
  <c r="G27" i="3" s="1"/>
  <c r="E27" i="3"/>
  <c r="B27" i="3"/>
  <c r="C27" i="3" s="1"/>
  <c r="A27" i="3"/>
  <c r="G26" i="3"/>
  <c r="F26" i="3"/>
  <c r="E26" i="3"/>
  <c r="B26" i="3"/>
  <c r="C26" i="3" s="1"/>
  <c r="A26" i="3"/>
  <c r="K25" i="3"/>
  <c r="J25" i="3"/>
  <c r="I25" i="3"/>
  <c r="H25" i="3"/>
  <c r="G25" i="3"/>
  <c r="F25" i="3"/>
  <c r="E25" i="3"/>
  <c r="B25" i="3"/>
  <c r="C25" i="3" s="1"/>
  <c r="A25" i="3"/>
  <c r="F24" i="3"/>
  <c r="G24" i="3" s="1"/>
  <c r="E24" i="3"/>
  <c r="B24" i="3"/>
  <c r="C24" i="3" s="1"/>
  <c r="A24" i="3"/>
  <c r="F23" i="3"/>
  <c r="G23" i="3" s="1"/>
  <c r="E23" i="3"/>
  <c r="B23" i="3"/>
  <c r="C23" i="3" s="1"/>
  <c r="A23" i="3"/>
  <c r="G22" i="3"/>
  <c r="F22" i="3"/>
  <c r="E22" i="3"/>
  <c r="B22" i="3"/>
  <c r="C22" i="3" s="1"/>
  <c r="A22" i="3"/>
  <c r="F21" i="3"/>
  <c r="G21" i="3" s="1"/>
  <c r="E21" i="3"/>
  <c r="B21" i="3"/>
  <c r="C21" i="3" s="1"/>
  <c r="A21" i="3"/>
  <c r="F20" i="3"/>
  <c r="G20" i="3" s="1"/>
  <c r="E20" i="3"/>
  <c r="B20" i="3"/>
  <c r="C20" i="3" s="1"/>
  <c r="A20" i="3"/>
  <c r="F19" i="3"/>
  <c r="G19" i="3" s="1"/>
  <c r="E19" i="3"/>
  <c r="B19" i="3"/>
  <c r="C19" i="3" s="1"/>
  <c r="A19" i="3"/>
  <c r="K18" i="3"/>
  <c r="J18" i="3"/>
  <c r="I18" i="3"/>
  <c r="H18" i="3"/>
  <c r="G18" i="3"/>
  <c r="F18" i="3"/>
  <c r="E18" i="3"/>
  <c r="B18" i="3"/>
  <c r="C18" i="3" s="1"/>
  <c r="A18" i="3"/>
  <c r="G17" i="3"/>
  <c r="F17" i="3"/>
  <c r="E17" i="3"/>
  <c r="B17" i="3"/>
  <c r="C17" i="3" s="1"/>
  <c r="A17" i="3"/>
  <c r="F16" i="3"/>
  <c r="G16" i="3" s="1"/>
  <c r="E16" i="3"/>
  <c r="B16" i="3"/>
  <c r="C16" i="3" s="1"/>
  <c r="A16" i="3"/>
  <c r="G15" i="3"/>
  <c r="F15" i="3"/>
  <c r="E15" i="3"/>
  <c r="B15" i="3"/>
  <c r="C15" i="3" s="1"/>
  <c r="A15" i="3"/>
  <c r="F14" i="3"/>
  <c r="G14" i="3" s="1"/>
  <c r="E14" i="3"/>
  <c r="B14" i="3"/>
  <c r="C14" i="3" s="1"/>
  <c r="A14" i="3"/>
  <c r="K13" i="3"/>
  <c r="J13" i="3"/>
  <c r="I13" i="3"/>
  <c r="H13" i="3"/>
  <c r="G13" i="3"/>
  <c r="F13" i="3"/>
  <c r="E13" i="3"/>
  <c r="C13" i="3"/>
  <c r="B13" i="3"/>
  <c r="A13" i="3"/>
  <c r="K12" i="3"/>
  <c r="J12" i="3"/>
  <c r="I12" i="3"/>
  <c r="H12" i="3"/>
  <c r="G12" i="3"/>
  <c r="F12" i="3"/>
  <c r="E12" i="3"/>
  <c r="C12" i="3"/>
  <c r="B12" i="3"/>
  <c r="A12" i="3"/>
  <c r="K11" i="3"/>
  <c r="J11" i="3"/>
  <c r="I11" i="3"/>
  <c r="H11" i="3"/>
  <c r="G11" i="3"/>
  <c r="F11" i="3"/>
  <c r="E11" i="3"/>
  <c r="C11" i="3"/>
  <c r="B11" i="3"/>
  <c r="A11" i="3"/>
  <c r="K10" i="3"/>
  <c r="J10" i="3"/>
  <c r="I10" i="3"/>
  <c r="H10" i="3"/>
  <c r="G10" i="3"/>
  <c r="F10" i="3"/>
  <c r="E10" i="3"/>
  <c r="C10" i="3"/>
  <c r="B10" i="3"/>
  <c r="A10" i="3"/>
  <c r="K9" i="3"/>
  <c r="J9" i="3"/>
  <c r="I9" i="3"/>
  <c r="H9" i="3"/>
  <c r="G9" i="3"/>
  <c r="F9" i="3"/>
  <c r="E9" i="3"/>
  <c r="C9" i="3"/>
  <c r="B9" i="3"/>
  <c r="A9" i="3"/>
  <c r="K8" i="3"/>
  <c r="J8" i="3"/>
  <c r="I8" i="3"/>
  <c r="H8" i="3"/>
  <c r="G8" i="3"/>
  <c r="F8" i="3"/>
  <c r="E8" i="3"/>
  <c r="C8" i="3"/>
  <c r="B8" i="3"/>
  <c r="A8" i="3"/>
  <c r="D6" i="3"/>
  <c r="D5" i="3"/>
  <c r="A2" i="3"/>
  <c r="L48" i="2"/>
  <c r="J10" i="1" s="1"/>
  <c r="A48" i="2"/>
  <c r="K42" i="2"/>
  <c r="J42" i="2"/>
  <c r="I42" i="2"/>
  <c r="H42" i="2"/>
  <c r="G42" i="2"/>
  <c r="F42" i="2"/>
  <c r="E42" i="2"/>
  <c r="C42" i="2"/>
  <c r="B42" i="2"/>
  <c r="A42" i="2"/>
  <c r="F41" i="2"/>
  <c r="G41" i="2" s="1"/>
  <c r="E41" i="2"/>
  <c r="B41" i="2"/>
  <c r="C41" i="2" s="1"/>
  <c r="A41" i="2"/>
  <c r="F40" i="2"/>
  <c r="G40" i="2" s="1"/>
  <c r="E40" i="2"/>
  <c r="B40" i="2"/>
  <c r="C40" i="2" s="1"/>
  <c r="A40" i="2"/>
  <c r="K39" i="2"/>
  <c r="J39" i="2"/>
  <c r="I39" i="2"/>
  <c r="H39" i="2"/>
  <c r="G39" i="2"/>
  <c r="F39" i="2"/>
  <c r="E39" i="2"/>
  <c r="B39" i="2"/>
  <c r="C39" i="2" s="1"/>
  <c r="A39" i="2"/>
  <c r="F38" i="2"/>
  <c r="G38" i="2" s="1"/>
  <c r="E38" i="2"/>
  <c r="B38" i="2"/>
  <c r="C38" i="2" s="1"/>
  <c r="A38" i="2"/>
  <c r="G37" i="2"/>
  <c r="F37" i="2"/>
  <c r="E37" i="2"/>
  <c r="B37" i="2"/>
  <c r="C37" i="2" s="1"/>
  <c r="A37" i="2"/>
  <c r="F36" i="2"/>
  <c r="G36" i="2" s="1"/>
  <c r="E36" i="2"/>
  <c r="B36" i="2"/>
  <c r="C36" i="2" s="1"/>
  <c r="A36" i="2"/>
  <c r="F35" i="2"/>
  <c r="G35" i="2" s="1"/>
  <c r="E35" i="2"/>
  <c r="B35" i="2"/>
  <c r="C35" i="2" s="1"/>
  <c r="A35" i="2"/>
  <c r="F34" i="2"/>
  <c r="G34" i="2" s="1"/>
  <c r="E34" i="2"/>
  <c r="B34" i="2"/>
  <c r="C34" i="2" s="1"/>
  <c r="A34" i="2"/>
  <c r="F33" i="2"/>
  <c r="G33" i="2" s="1"/>
  <c r="E33" i="2"/>
  <c r="B33" i="2"/>
  <c r="C33" i="2" s="1"/>
  <c r="A33" i="2"/>
  <c r="K32" i="2"/>
  <c r="J32" i="2"/>
  <c r="I32" i="2"/>
  <c r="H32" i="2"/>
  <c r="G32" i="2"/>
  <c r="F32" i="2"/>
  <c r="E32" i="2"/>
  <c r="B32" i="2"/>
  <c r="C32" i="2" s="1"/>
  <c r="A32" i="2"/>
  <c r="F31" i="2"/>
  <c r="G31" i="2" s="1"/>
  <c r="E31" i="2"/>
  <c r="B31" i="2"/>
  <c r="C31" i="2" s="1"/>
  <c r="A31" i="2"/>
  <c r="F30" i="2"/>
  <c r="G30" i="2" s="1"/>
  <c r="E30" i="2"/>
  <c r="B30" i="2"/>
  <c r="C30" i="2" s="1"/>
  <c r="A30" i="2"/>
  <c r="F29" i="2"/>
  <c r="G29" i="2" s="1"/>
  <c r="E29" i="2"/>
  <c r="B29" i="2"/>
  <c r="C29" i="2" s="1"/>
  <c r="A29" i="2"/>
  <c r="F28" i="2"/>
  <c r="G28" i="2" s="1"/>
  <c r="E28" i="2"/>
  <c r="B28" i="2"/>
  <c r="C28" i="2" s="1"/>
  <c r="A28" i="2"/>
  <c r="F27" i="2"/>
  <c r="G27" i="2" s="1"/>
  <c r="E27" i="2"/>
  <c r="B27" i="2"/>
  <c r="C27" i="2" s="1"/>
  <c r="A27" i="2"/>
  <c r="F26" i="2"/>
  <c r="G26" i="2" s="1"/>
  <c r="E26" i="2"/>
  <c r="B26" i="2"/>
  <c r="C26" i="2" s="1"/>
  <c r="A26" i="2"/>
  <c r="K25" i="2"/>
  <c r="J25" i="2"/>
  <c r="I25" i="2"/>
  <c r="H25" i="2"/>
  <c r="G25" i="2"/>
  <c r="F25" i="2"/>
  <c r="E25" i="2"/>
  <c r="B25" i="2"/>
  <c r="C25" i="2" s="1"/>
  <c r="A25" i="2"/>
  <c r="F24" i="2"/>
  <c r="G24" i="2" s="1"/>
  <c r="E24" i="2"/>
  <c r="B24" i="2"/>
  <c r="C24" i="2" s="1"/>
  <c r="A24" i="2"/>
  <c r="F23" i="2"/>
  <c r="G23" i="2" s="1"/>
  <c r="E23" i="2"/>
  <c r="B23" i="2"/>
  <c r="C23" i="2" s="1"/>
  <c r="A23" i="2"/>
  <c r="F22" i="2"/>
  <c r="G22" i="2" s="1"/>
  <c r="E22" i="2"/>
  <c r="B22" i="2"/>
  <c r="C22" i="2" s="1"/>
  <c r="A22" i="2"/>
  <c r="F21" i="2"/>
  <c r="G21" i="2" s="1"/>
  <c r="E21" i="2"/>
  <c r="B21" i="2"/>
  <c r="C21" i="2" s="1"/>
  <c r="A21" i="2"/>
  <c r="F20" i="2"/>
  <c r="G20" i="2" s="1"/>
  <c r="E20" i="2"/>
  <c r="B20" i="2"/>
  <c r="C20" i="2" s="1"/>
  <c r="A20" i="2"/>
  <c r="F19" i="2"/>
  <c r="G19" i="2" s="1"/>
  <c r="E19" i="2"/>
  <c r="B19" i="2"/>
  <c r="C19" i="2" s="1"/>
  <c r="A19" i="2"/>
  <c r="K18" i="2"/>
  <c r="J18" i="2"/>
  <c r="I18" i="2"/>
  <c r="H18" i="2"/>
  <c r="G18" i="2"/>
  <c r="F18" i="2"/>
  <c r="E18" i="2"/>
  <c r="B18" i="2"/>
  <c r="C18" i="2" s="1"/>
  <c r="A18" i="2"/>
  <c r="F17" i="2"/>
  <c r="G17" i="2" s="1"/>
  <c r="E17" i="2"/>
  <c r="B17" i="2"/>
  <c r="C17" i="2" s="1"/>
  <c r="A17" i="2"/>
  <c r="F16" i="2"/>
  <c r="G16" i="2" s="1"/>
  <c r="E16" i="2"/>
  <c r="B16" i="2"/>
  <c r="C16" i="2" s="1"/>
  <c r="A16" i="2"/>
  <c r="F15" i="2"/>
  <c r="G15" i="2" s="1"/>
  <c r="E15" i="2"/>
  <c r="B15" i="2"/>
  <c r="C15" i="2" s="1"/>
  <c r="A15" i="2"/>
  <c r="F14" i="2"/>
  <c r="G14" i="2" s="1"/>
  <c r="E14" i="2"/>
  <c r="B14" i="2"/>
  <c r="C14" i="2" s="1"/>
  <c r="A14" i="2"/>
  <c r="F13" i="2"/>
  <c r="G13" i="2" s="1"/>
  <c r="E13" i="2"/>
  <c r="B13" i="2"/>
  <c r="C13" i="2" s="1"/>
  <c r="A13" i="2"/>
  <c r="F12" i="2"/>
  <c r="G12" i="2" s="1"/>
  <c r="E12" i="2"/>
  <c r="B12" i="2"/>
  <c r="C12" i="2" s="1"/>
  <c r="A12" i="2"/>
  <c r="K11" i="2"/>
  <c r="J11" i="2"/>
  <c r="I11" i="2"/>
  <c r="H11" i="2"/>
  <c r="G11" i="2"/>
  <c r="F11" i="2"/>
  <c r="E11" i="2"/>
  <c r="B11" i="2"/>
  <c r="C11" i="2" s="1"/>
  <c r="A11" i="2"/>
  <c r="K10" i="2"/>
  <c r="J10" i="2"/>
  <c r="I10" i="2"/>
  <c r="H10" i="2"/>
  <c r="G10" i="2"/>
  <c r="F10" i="2"/>
  <c r="E10" i="2"/>
  <c r="C10" i="2"/>
  <c r="B10" i="2"/>
  <c r="A10" i="2"/>
  <c r="K9" i="2"/>
  <c r="J9" i="2"/>
  <c r="I9" i="2"/>
  <c r="H9" i="2"/>
  <c r="G9" i="2"/>
  <c r="F9" i="2"/>
  <c r="E9" i="2"/>
  <c r="C9" i="2"/>
  <c r="B9" i="2"/>
  <c r="A9" i="2"/>
  <c r="K8" i="2"/>
  <c r="J8" i="2"/>
  <c r="I8" i="2"/>
  <c r="H8" i="2"/>
  <c r="G8" i="2"/>
  <c r="F8" i="2"/>
  <c r="E8" i="2"/>
  <c r="C8" i="2"/>
  <c r="B8" i="2"/>
  <c r="A8" i="2"/>
  <c r="D6" i="2"/>
  <c r="D5" i="2"/>
  <c r="A2" i="2"/>
  <c r="J37" i="1"/>
  <c r="C37" i="1"/>
  <c r="B37" i="1"/>
  <c r="J36" i="1"/>
  <c r="C36" i="1"/>
  <c r="B36" i="1"/>
  <c r="J35" i="1"/>
  <c r="C35" i="1"/>
  <c r="B35" i="1"/>
  <c r="C34" i="1"/>
  <c r="B34" i="1"/>
  <c r="C33" i="1"/>
  <c r="B33" i="1"/>
  <c r="C32" i="1"/>
  <c r="B32" i="1"/>
  <c r="C31" i="1"/>
  <c r="B31" i="1"/>
  <c r="J30" i="1"/>
  <c r="C30" i="1"/>
  <c r="B30" i="1"/>
  <c r="C29" i="1"/>
  <c r="B29" i="1"/>
  <c r="C28" i="1"/>
  <c r="B28" i="1"/>
  <c r="J27" i="1"/>
  <c r="C27" i="1"/>
  <c r="B27" i="1"/>
  <c r="C26" i="1"/>
  <c r="B26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E6" i="4" l="1"/>
  <c r="E5" i="4"/>
  <c r="H40" i="25"/>
  <c r="I40" i="25"/>
  <c r="J40" i="25" s="1"/>
  <c r="K40" i="25" s="1"/>
  <c r="H38" i="25"/>
  <c r="I38" i="25"/>
  <c r="J38" i="25" s="1"/>
  <c r="K38" i="25" s="1"/>
  <c r="H37" i="25"/>
  <c r="I37" i="25"/>
  <c r="J37" i="25" s="1"/>
  <c r="K37" i="25" s="1"/>
  <c r="H36" i="25"/>
  <c r="I36" i="25"/>
  <c r="J36" i="25" s="1"/>
  <c r="D47" i="25"/>
  <c r="G47" i="25"/>
  <c r="I47" i="25"/>
  <c r="L47" i="25"/>
  <c r="A47" i="25"/>
  <c r="E47" i="25"/>
  <c r="I35" i="25"/>
  <c r="J35" i="25" s="1"/>
  <c r="K35" i="25" s="1"/>
  <c r="H35" i="25"/>
  <c r="H34" i="25"/>
  <c r="I34" i="25"/>
  <c r="J34" i="25" s="1"/>
  <c r="K34" i="25" s="1"/>
  <c r="H33" i="25"/>
  <c r="I33" i="25"/>
  <c r="J33" i="25" s="1"/>
  <c r="K33" i="25" s="1"/>
  <c r="H31" i="25"/>
  <c r="I31" i="25"/>
  <c r="J31" i="25" s="1"/>
  <c r="K31" i="25" s="1"/>
  <c r="H30" i="25"/>
  <c r="I30" i="25"/>
  <c r="J30" i="25" s="1"/>
  <c r="K30" i="25" s="1"/>
  <c r="I29" i="25"/>
  <c r="J29" i="25" s="1"/>
  <c r="H29" i="25"/>
  <c r="A46" i="25"/>
  <c r="G46" i="25"/>
  <c r="L46" i="25"/>
  <c r="D46" i="25"/>
  <c r="E46" i="25"/>
  <c r="I46" i="25"/>
  <c r="H28" i="25"/>
  <c r="I28" i="25"/>
  <c r="J28" i="25" s="1"/>
  <c r="K28" i="25" s="1"/>
  <c r="H27" i="25"/>
  <c r="I27" i="25"/>
  <c r="J27" i="25" s="1"/>
  <c r="K27" i="25" s="1"/>
  <c r="I26" i="25"/>
  <c r="J26" i="25" s="1"/>
  <c r="K26" i="25" s="1"/>
  <c r="H26" i="25"/>
  <c r="H24" i="25"/>
  <c r="I24" i="25"/>
  <c r="J24" i="25" s="1"/>
  <c r="K24" i="25" s="1"/>
  <c r="I23" i="25"/>
  <c r="J23" i="25" s="1"/>
  <c r="K23" i="25" s="1"/>
  <c r="H23" i="25"/>
  <c r="I22" i="25"/>
  <c r="J22" i="25" s="1"/>
  <c r="H22" i="25"/>
  <c r="D45" i="25"/>
  <c r="G45" i="25"/>
  <c r="L45" i="25"/>
  <c r="E45" i="25"/>
  <c r="A45" i="25"/>
  <c r="I45" i="25"/>
  <c r="H21" i="25"/>
  <c r="I21" i="25"/>
  <c r="J21" i="25" s="1"/>
  <c r="K21" i="25" s="1"/>
  <c r="H20" i="25"/>
  <c r="I20" i="25"/>
  <c r="J20" i="25" s="1"/>
  <c r="K20" i="25" s="1"/>
  <c r="H19" i="25"/>
  <c r="I19" i="25"/>
  <c r="J19" i="25" s="1"/>
  <c r="K19" i="25" s="1"/>
  <c r="H17" i="25"/>
  <c r="I17" i="25"/>
  <c r="J17" i="25" s="1"/>
  <c r="K17" i="25" s="1"/>
  <c r="I16" i="25"/>
  <c r="J16" i="25" s="1"/>
  <c r="K16" i="25" s="1"/>
  <c r="H16" i="25"/>
  <c r="I15" i="25"/>
  <c r="J15" i="25" s="1"/>
  <c r="H15" i="25"/>
  <c r="G44" i="25"/>
  <c r="A44" i="25"/>
  <c r="I44" i="25"/>
  <c r="L44" i="25"/>
  <c r="D44" i="25"/>
  <c r="E44" i="25"/>
  <c r="I14" i="25"/>
  <c r="J14" i="25" s="1"/>
  <c r="K14" i="25" s="1"/>
  <c r="H14" i="25"/>
  <c r="I13" i="25"/>
  <c r="J13" i="25" s="1"/>
  <c r="K13" i="25" s="1"/>
  <c r="H13" i="25"/>
  <c r="H12" i="25"/>
  <c r="I12" i="25"/>
  <c r="J12" i="25" s="1"/>
  <c r="K12" i="25" s="1"/>
  <c r="G5" i="25"/>
  <c r="H10" i="25"/>
  <c r="I10" i="25"/>
  <c r="E43" i="25"/>
  <c r="A43" i="25"/>
  <c r="L43" i="25"/>
  <c r="D48" i="25"/>
  <c r="D37" i="1" s="1"/>
  <c r="I48" i="25"/>
  <c r="G37" i="1" s="1"/>
  <c r="G43" i="25"/>
  <c r="D43" i="25"/>
  <c r="G48" i="25"/>
  <c r="F37" i="1" s="1"/>
  <c r="E48" i="25"/>
  <c r="E37" i="1" s="1"/>
  <c r="H37" i="24"/>
  <c r="I37" i="24"/>
  <c r="J37" i="24" s="1"/>
  <c r="K37" i="24" s="1"/>
  <c r="I36" i="24"/>
  <c r="J36" i="24" s="1"/>
  <c r="H36" i="24"/>
  <c r="A47" i="24"/>
  <c r="G47" i="24"/>
  <c r="L47" i="24"/>
  <c r="D47" i="24"/>
  <c r="E47" i="24"/>
  <c r="I47" i="24"/>
  <c r="H35" i="24"/>
  <c r="I35" i="24"/>
  <c r="J35" i="24" s="1"/>
  <c r="K35" i="24" s="1"/>
  <c r="H34" i="24"/>
  <c r="I34" i="24"/>
  <c r="J34" i="24" s="1"/>
  <c r="K34" i="24" s="1"/>
  <c r="I33" i="24"/>
  <c r="J33" i="24" s="1"/>
  <c r="K33" i="24" s="1"/>
  <c r="H33" i="24"/>
  <c r="H31" i="24"/>
  <c r="I31" i="24"/>
  <c r="J31" i="24" s="1"/>
  <c r="K31" i="24" s="1"/>
  <c r="H30" i="24"/>
  <c r="I30" i="24"/>
  <c r="J30" i="24" s="1"/>
  <c r="K30" i="24" s="1"/>
  <c r="I29" i="24"/>
  <c r="J29" i="24" s="1"/>
  <c r="H29" i="24"/>
  <c r="G46" i="24"/>
  <c r="L46" i="24"/>
  <c r="D46" i="24"/>
  <c r="A46" i="24"/>
  <c r="E46" i="24"/>
  <c r="I46" i="24"/>
  <c r="H28" i="24"/>
  <c r="I28" i="24"/>
  <c r="J28" i="24" s="1"/>
  <c r="K28" i="24" s="1"/>
  <c r="I27" i="24"/>
  <c r="J27" i="24" s="1"/>
  <c r="K27" i="24" s="1"/>
  <c r="H27" i="24"/>
  <c r="I26" i="24"/>
  <c r="J26" i="24" s="1"/>
  <c r="K26" i="24" s="1"/>
  <c r="H26" i="24"/>
  <c r="H24" i="24"/>
  <c r="I24" i="24"/>
  <c r="J24" i="24" s="1"/>
  <c r="K24" i="24" s="1"/>
  <c r="H23" i="24"/>
  <c r="I23" i="24"/>
  <c r="J23" i="24" s="1"/>
  <c r="K23" i="24" s="1"/>
  <c r="I22" i="24"/>
  <c r="J22" i="24" s="1"/>
  <c r="H22" i="24"/>
  <c r="A45" i="24"/>
  <c r="G45" i="24"/>
  <c r="L45" i="24"/>
  <c r="E45" i="24"/>
  <c r="I45" i="24"/>
  <c r="D45" i="24"/>
  <c r="I21" i="24"/>
  <c r="J21" i="24" s="1"/>
  <c r="K21" i="24" s="1"/>
  <c r="H21" i="24"/>
  <c r="H20" i="24"/>
  <c r="I20" i="24"/>
  <c r="J20" i="24" s="1"/>
  <c r="K20" i="24" s="1"/>
  <c r="H19" i="24"/>
  <c r="I19" i="24"/>
  <c r="J19" i="24" s="1"/>
  <c r="K19" i="24" s="1"/>
  <c r="H17" i="24"/>
  <c r="I17" i="24"/>
  <c r="J17" i="24" s="1"/>
  <c r="K17" i="24" s="1"/>
  <c r="I16" i="24"/>
  <c r="J16" i="24" s="1"/>
  <c r="K16" i="24" s="1"/>
  <c r="H16" i="24"/>
  <c r="H15" i="24"/>
  <c r="I15" i="24"/>
  <c r="L44" i="24"/>
  <c r="D44" i="24"/>
  <c r="E44" i="24"/>
  <c r="A44" i="24"/>
  <c r="G44" i="24"/>
  <c r="H14" i="24"/>
  <c r="I14" i="24"/>
  <c r="J14" i="24" s="1"/>
  <c r="K14" i="24" s="1"/>
  <c r="H13" i="24"/>
  <c r="I13" i="24"/>
  <c r="J13" i="24" s="1"/>
  <c r="K13" i="24" s="1"/>
  <c r="I12" i="24"/>
  <c r="J12" i="24" s="1"/>
  <c r="K12" i="24" s="1"/>
  <c r="H12" i="24"/>
  <c r="H10" i="24"/>
  <c r="I10" i="24"/>
  <c r="J10" i="24" s="1"/>
  <c r="K10" i="24" s="1"/>
  <c r="H9" i="24"/>
  <c r="I9" i="24"/>
  <c r="J9" i="24" s="1"/>
  <c r="K9" i="24" s="1"/>
  <c r="G5" i="24"/>
  <c r="H8" i="24"/>
  <c r="I8" i="24"/>
  <c r="E6" i="24"/>
  <c r="G48" i="24"/>
  <c r="F36" i="1" s="1"/>
  <c r="A43" i="24"/>
  <c r="E48" i="24"/>
  <c r="E36" i="1" s="1"/>
  <c r="D43" i="24"/>
  <c r="L5" i="24"/>
  <c r="G43" i="24"/>
  <c r="L43" i="24"/>
  <c r="D48" i="24"/>
  <c r="D36" i="1" s="1"/>
  <c r="I48" i="24"/>
  <c r="G36" i="1" s="1"/>
  <c r="E43" i="24"/>
  <c r="H42" i="23"/>
  <c r="I42" i="23"/>
  <c r="J42" i="23" s="1"/>
  <c r="K42" i="23" s="1"/>
  <c r="H41" i="23"/>
  <c r="I41" i="23"/>
  <c r="J41" i="23" s="1"/>
  <c r="K41" i="23" s="1"/>
  <c r="I40" i="23"/>
  <c r="J40" i="23" s="1"/>
  <c r="K40" i="23" s="1"/>
  <c r="H40" i="23"/>
  <c r="I38" i="23"/>
  <c r="J38" i="23" s="1"/>
  <c r="K38" i="23" s="1"/>
  <c r="H38" i="23"/>
  <c r="H37" i="23"/>
  <c r="I37" i="23"/>
  <c r="J37" i="23" s="1"/>
  <c r="K37" i="23" s="1"/>
  <c r="I36" i="23"/>
  <c r="J36" i="23" s="1"/>
  <c r="H36" i="23"/>
  <c r="D47" i="23"/>
  <c r="L47" i="23"/>
  <c r="E47" i="23"/>
  <c r="G47" i="23"/>
  <c r="A47" i="23"/>
  <c r="I47" i="23"/>
  <c r="I35" i="23"/>
  <c r="J35" i="23" s="1"/>
  <c r="K35" i="23" s="1"/>
  <c r="H35" i="23"/>
  <c r="H34" i="23"/>
  <c r="I34" i="23"/>
  <c r="J34" i="23" s="1"/>
  <c r="K34" i="23" s="1"/>
  <c r="I33" i="23"/>
  <c r="J33" i="23" s="1"/>
  <c r="K33" i="23" s="1"/>
  <c r="H33" i="23"/>
  <c r="I31" i="23"/>
  <c r="J31" i="23" s="1"/>
  <c r="K31" i="23" s="1"/>
  <c r="H31" i="23"/>
  <c r="H30" i="23"/>
  <c r="I30" i="23"/>
  <c r="J30" i="23" s="1"/>
  <c r="K30" i="23" s="1"/>
  <c r="I29" i="23"/>
  <c r="J29" i="23" s="1"/>
  <c r="H29" i="23"/>
  <c r="D46" i="23"/>
  <c r="A46" i="23"/>
  <c r="I46" i="23"/>
  <c r="E46" i="23"/>
  <c r="G46" i="23"/>
  <c r="L46" i="23"/>
  <c r="I28" i="23"/>
  <c r="J28" i="23" s="1"/>
  <c r="K28" i="23" s="1"/>
  <c r="H28" i="23"/>
  <c r="H27" i="23"/>
  <c r="I27" i="23"/>
  <c r="J27" i="23" s="1"/>
  <c r="K27" i="23" s="1"/>
  <c r="H26" i="23"/>
  <c r="I26" i="23"/>
  <c r="J26" i="23" s="1"/>
  <c r="K26" i="23" s="1"/>
  <c r="H24" i="23"/>
  <c r="I24" i="23"/>
  <c r="J24" i="23" s="1"/>
  <c r="K24" i="23" s="1"/>
  <c r="I23" i="23"/>
  <c r="J23" i="23" s="1"/>
  <c r="K23" i="23" s="1"/>
  <c r="H23" i="23"/>
  <c r="H22" i="23"/>
  <c r="I22" i="23"/>
  <c r="J22" i="23" s="1"/>
  <c r="A45" i="23"/>
  <c r="I45" i="23"/>
  <c r="D45" i="23"/>
  <c r="G45" i="23"/>
  <c r="L45" i="23"/>
  <c r="E45" i="23"/>
  <c r="H21" i="23"/>
  <c r="I21" i="23"/>
  <c r="J21" i="23" s="1"/>
  <c r="K21" i="23" s="1"/>
  <c r="H20" i="23"/>
  <c r="I20" i="23"/>
  <c r="J20" i="23" s="1"/>
  <c r="K20" i="23" s="1"/>
  <c r="H19" i="23"/>
  <c r="I19" i="23"/>
  <c r="J19" i="23" s="1"/>
  <c r="K19" i="23" s="1"/>
  <c r="H17" i="23"/>
  <c r="I17" i="23"/>
  <c r="J17" i="23" s="1"/>
  <c r="K17" i="23" s="1"/>
  <c r="H16" i="23"/>
  <c r="I16" i="23"/>
  <c r="J16" i="23" s="1"/>
  <c r="K16" i="23" s="1"/>
  <c r="I15" i="23"/>
  <c r="J15" i="23" s="1"/>
  <c r="H15" i="23"/>
  <c r="D44" i="23"/>
  <c r="E44" i="23"/>
  <c r="G44" i="23"/>
  <c r="A44" i="23"/>
  <c r="I44" i="23"/>
  <c r="L44" i="23"/>
  <c r="H14" i="23"/>
  <c r="I14" i="23"/>
  <c r="J14" i="23" s="1"/>
  <c r="K14" i="23" s="1"/>
  <c r="H13" i="23"/>
  <c r="I13" i="23"/>
  <c r="J13" i="23" s="1"/>
  <c r="K13" i="23" s="1"/>
  <c r="G5" i="23"/>
  <c r="I12" i="23"/>
  <c r="H12" i="23"/>
  <c r="G48" i="23"/>
  <c r="F35" i="1" s="1"/>
  <c r="I48" i="23"/>
  <c r="G35" i="1" s="1"/>
  <c r="D48" i="23"/>
  <c r="D35" i="1" s="1"/>
  <c r="D43" i="23"/>
  <c r="G43" i="23"/>
  <c r="E43" i="23"/>
  <c r="L43" i="23"/>
  <c r="I43" i="23"/>
  <c r="A43" i="23"/>
  <c r="E48" i="23"/>
  <c r="E35" i="1" s="1"/>
  <c r="I38" i="22"/>
  <c r="J38" i="22" s="1"/>
  <c r="K38" i="22" s="1"/>
  <c r="H38" i="22"/>
  <c r="I37" i="22"/>
  <c r="J37" i="22" s="1"/>
  <c r="K37" i="22" s="1"/>
  <c r="H37" i="22"/>
  <c r="H36" i="22"/>
  <c r="I36" i="22"/>
  <c r="L47" i="22"/>
  <c r="G47" i="22"/>
  <c r="E47" i="22"/>
  <c r="D47" i="22"/>
  <c r="A47" i="22"/>
  <c r="H35" i="22"/>
  <c r="I35" i="22"/>
  <c r="J35" i="22" s="1"/>
  <c r="K35" i="22" s="1"/>
  <c r="I34" i="22"/>
  <c r="J34" i="22" s="1"/>
  <c r="K34" i="22" s="1"/>
  <c r="H34" i="22"/>
  <c r="H33" i="22"/>
  <c r="I33" i="22"/>
  <c r="J33" i="22" s="1"/>
  <c r="K33" i="22" s="1"/>
  <c r="I31" i="22"/>
  <c r="J31" i="22" s="1"/>
  <c r="K31" i="22" s="1"/>
  <c r="H31" i="22"/>
  <c r="H30" i="22"/>
  <c r="I30" i="22"/>
  <c r="J30" i="22" s="1"/>
  <c r="K30" i="22" s="1"/>
  <c r="H29" i="22"/>
  <c r="I29" i="22"/>
  <c r="J29" i="22" s="1"/>
  <c r="K29" i="22" s="1"/>
  <c r="J46" i="22"/>
  <c r="G46" i="22"/>
  <c r="L46" i="22"/>
  <c r="A46" i="22"/>
  <c r="K46" i="22"/>
  <c r="I46" i="22"/>
  <c r="D46" i="22"/>
  <c r="E46" i="22"/>
  <c r="I28" i="22"/>
  <c r="J28" i="22" s="1"/>
  <c r="K28" i="22" s="1"/>
  <c r="H28" i="22"/>
  <c r="H27" i="22"/>
  <c r="I27" i="22"/>
  <c r="J27" i="22" s="1"/>
  <c r="K27" i="22" s="1"/>
  <c r="I26" i="22"/>
  <c r="J26" i="22" s="1"/>
  <c r="K26" i="22" s="1"/>
  <c r="H26" i="22"/>
  <c r="H24" i="22"/>
  <c r="I24" i="22"/>
  <c r="J24" i="22" s="1"/>
  <c r="K24" i="22" s="1"/>
  <c r="H23" i="22"/>
  <c r="I23" i="22"/>
  <c r="J23" i="22" s="1"/>
  <c r="K23" i="22" s="1"/>
  <c r="I22" i="22"/>
  <c r="J22" i="22" s="1"/>
  <c r="K22" i="22" s="1"/>
  <c r="H22" i="22"/>
  <c r="G45" i="22"/>
  <c r="L45" i="22"/>
  <c r="D45" i="22"/>
  <c r="E45" i="22"/>
  <c r="A45" i="22"/>
  <c r="K45" i="22"/>
  <c r="J45" i="22"/>
  <c r="I45" i="22"/>
  <c r="I21" i="22"/>
  <c r="J21" i="22" s="1"/>
  <c r="K21" i="22" s="1"/>
  <c r="H21" i="22"/>
  <c r="I20" i="22"/>
  <c r="J20" i="22" s="1"/>
  <c r="K20" i="22" s="1"/>
  <c r="H20" i="22"/>
  <c r="H19" i="22"/>
  <c r="I19" i="22"/>
  <c r="J19" i="22" s="1"/>
  <c r="K19" i="22" s="1"/>
  <c r="I17" i="22"/>
  <c r="J17" i="22" s="1"/>
  <c r="K17" i="22" s="1"/>
  <c r="H17" i="22"/>
  <c r="H16" i="22"/>
  <c r="I16" i="22"/>
  <c r="J16" i="22" s="1"/>
  <c r="K16" i="22" s="1"/>
  <c r="H15" i="22"/>
  <c r="I15" i="22"/>
  <c r="J15" i="22" s="1"/>
  <c r="E44" i="22"/>
  <c r="A44" i="22"/>
  <c r="G44" i="22"/>
  <c r="I44" i="22"/>
  <c r="D44" i="22"/>
  <c r="L44" i="22"/>
  <c r="H14" i="22"/>
  <c r="I14" i="22"/>
  <c r="J14" i="22" s="1"/>
  <c r="K14" i="22" s="1"/>
  <c r="I13" i="22"/>
  <c r="J13" i="22" s="1"/>
  <c r="K13" i="22" s="1"/>
  <c r="H13" i="22"/>
  <c r="H12" i="22"/>
  <c r="I12" i="22"/>
  <c r="J12" i="22" s="1"/>
  <c r="K12" i="22" s="1"/>
  <c r="G5" i="22"/>
  <c r="H10" i="22"/>
  <c r="I10" i="22"/>
  <c r="D48" i="22"/>
  <c r="D34" i="1" s="1"/>
  <c r="L43" i="22"/>
  <c r="I43" i="22"/>
  <c r="G48" i="22"/>
  <c r="F34" i="1" s="1"/>
  <c r="G43" i="22"/>
  <c r="I48" i="22"/>
  <c r="G34" i="1" s="1"/>
  <c r="D43" i="22"/>
  <c r="A43" i="22"/>
  <c r="E48" i="22"/>
  <c r="E34" i="1" s="1"/>
  <c r="E43" i="22"/>
  <c r="I44" i="21"/>
  <c r="J44" i="21" s="1"/>
  <c r="K44" i="21" s="1"/>
  <c r="H44" i="21"/>
  <c r="I43" i="21"/>
  <c r="J43" i="21" s="1"/>
  <c r="H43" i="21"/>
  <c r="G55" i="21"/>
  <c r="D55" i="21"/>
  <c r="E55" i="21"/>
  <c r="A55" i="21"/>
  <c r="I55" i="21"/>
  <c r="L55" i="21"/>
  <c r="H42" i="21"/>
  <c r="I42" i="21"/>
  <c r="J42" i="21" s="1"/>
  <c r="K42" i="21" s="1"/>
  <c r="H41" i="21"/>
  <c r="I41" i="21"/>
  <c r="J41" i="21" s="1"/>
  <c r="K41" i="21" s="1"/>
  <c r="I40" i="21"/>
  <c r="J40" i="21" s="1"/>
  <c r="K40" i="21" s="1"/>
  <c r="H40" i="21"/>
  <c r="I38" i="21"/>
  <c r="J38" i="21" s="1"/>
  <c r="K38" i="21" s="1"/>
  <c r="H38" i="21"/>
  <c r="H37" i="21"/>
  <c r="I37" i="21"/>
  <c r="J37" i="21" s="1"/>
  <c r="K37" i="21" s="1"/>
  <c r="H36" i="21"/>
  <c r="I36" i="21"/>
  <c r="J36" i="21" s="1"/>
  <c r="D54" i="21"/>
  <c r="A54" i="21"/>
  <c r="E54" i="21"/>
  <c r="I54" i="21"/>
  <c r="G54" i="21"/>
  <c r="L54" i="21"/>
  <c r="H35" i="21"/>
  <c r="I35" i="21"/>
  <c r="J35" i="21" s="1"/>
  <c r="K35" i="21" s="1"/>
  <c r="H34" i="21"/>
  <c r="I34" i="21"/>
  <c r="J34" i="21" s="1"/>
  <c r="H33" i="21"/>
  <c r="I33" i="21"/>
  <c r="J33" i="21" s="1"/>
  <c r="K33" i="21" s="1"/>
  <c r="I31" i="21"/>
  <c r="J31" i="21" s="1"/>
  <c r="K31" i="21" s="1"/>
  <c r="H31" i="21"/>
  <c r="I30" i="21"/>
  <c r="J30" i="21" s="1"/>
  <c r="K30" i="21" s="1"/>
  <c r="H30" i="21"/>
  <c r="I29" i="21"/>
  <c r="J29" i="21" s="1"/>
  <c r="K29" i="21" s="1"/>
  <c r="K53" i="21" s="1"/>
  <c r="H29" i="21"/>
  <c r="I53" i="21"/>
  <c r="E53" i="21"/>
  <c r="D53" i="21"/>
  <c r="G53" i="21"/>
  <c r="A53" i="21"/>
  <c r="L53" i="21"/>
  <c r="H28" i="21"/>
  <c r="I28" i="21"/>
  <c r="J28" i="21" s="1"/>
  <c r="K28" i="21" s="1"/>
  <c r="H27" i="21"/>
  <c r="I27" i="21"/>
  <c r="J27" i="21" s="1"/>
  <c r="K27" i="21" s="1"/>
  <c r="H26" i="21"/>
  <c r="I26" i="21"/>
  <c r="J26" i="21" s="1"/>
  <c r="K26" i="21" s="1"/>
  <c r="I24" i="21"/>
  <c r="J24" i="21" s="1"/>
  <c r="K24" i="21" s="1"/>
  <c r="H24" i="21"/>
  <c r="H23" i="21"/>
  <c r="I23" i="21"/>
  <c r="J23" i="21" s="1"/>
  <c r="K23" i="21" s="1"/>
  <c r="H22" i="21"/>
  <c r="I22" i="21"/>
  <c r="J22" i="21" s="1"/>
  <c r="G52" i="21"/>
  <c r="A52" i="21"/>
  <c r="D52" i="21"/>
  <c r="L52" i="21"/>
  <c r="E52" i="21"/>
  <c r="I52" i="21"/>
  <c r="H21" i="21"/>
  <c r="I21" i="21"/>
  <c r="J21" i="21" s="1"/>
  <c r="K21" i="21" s="1"/>
  <c r="I20" i="21"/>
  <c r="J20" i="21" s="1"/>
  <c r="K20" i="21" s="1"/>
  <c r="H20" i="21"/>
  <c r="I19" i="21"/>
  <c r="J19" i="21" s="1"/>
  <c r="K19" i="21" s="1"/>
  <c r="H19" i="21"/>
  <c r="H17" i="21"/>
  <c r="I17" i="21"/>
  <c r="J17" i="21" s="1"/>
  <c r="K17" i="21" s="1"/>
  <c r="I16" i="21"/>
  <c r="J16" i="21" s="1"/>
  <c r="K16" i="21" s="1"/>
  <c r="H16" i="21"/>
  <c r="I15" i="21"/>
  <c r="H15" i="21"/>
  <c r="G51" i="21"/>
  <c r="D51" i="21"/>
  <c r="E51" i="21"/>
  <c r="L51" i="21"/>
  <c r="A51" i="21"/>
  <c r="G5" i="21"/>
  <c r="H14" i="21"/>
  <c r="I14" i="21"/>
  <c r="D56" i="21"/>
  <c r="D33" i="1" s="1"/>
  <c r="D50" i="21"/>
  <c r="L50" i="21"/>
  <c r="E50" i="21"/>
  <c r="E56" i="21"/>
  <c r="E33" i="1" s="1"/>
  <c r="A50" i="21"/>
  <c r="G56" i="21"/>
  <c r="F33" i="1" s="1"/>
  <c r="G50" i="21"/>
  <c r="I50" i="21"/>
  <c r="I41" i="20"/>
  <c r="J41" i="20" s="1"/>
  <c r="K41" i="20" s="1"/>
  <c r="H41" i="20"/>
  <c r="I40" i="20"/>
  <c r="J40" i="20" s="1"/>
  <c r="K40" i="20" s="1"/>
  <c r="H40" i="20"/>
  <c r="I38" i="20"/>
  <c r="J38" i="20" s="1"/>
  <c r="K38" i="20" s="1"/>
  <c r="H38" i="20"/>
  <c r="I37" i="20"/>
  <c r="J37" i="20" s="1"/>
  <c r="K37" i="20" s="1"/>
  <c r="H37" i="20"/>
  <c r="I36" i="20"/>
  <c r="J36" i="20" s="1"/>
  <c r="H36" i="20"/>
  <c r="A47" i="20"/>
  <c r="E47" i="20"/>
  <c r="I47" i="20"/>
  <c r="L47" i="20"/>
  <c r="D47" i="20"/>
  <c r="G47" i="20"/>
  <c r="I35" i="20"/>
  <c r="J35" i="20" s="1"/>
  <c r="K35" i="20" s="1"/>
  <c r="H35" i="20"/>
  <c r="H34" i="20"/>
  <c r="I34" i="20"/>
  <c r="J34" i="20" s="1"/>
  <c r="K34" i="20" s="1"/>
  <c r="H33" i="20"/>
  <c r="I33" i="20"/>
  <c r="J33" i="20" s="1"/>
  <c r="K33" i="20" s="1"/>
  <c r="H31" i="20"/>
  <c r="I31" i="20"/>
  <c r="J31" i="20" s="1"/>
  <c r="K31" i="20" s="1"/>
  <c r="I30" i="20"/>
  <c r="H30" i="20"/>
  <c r="I29" i="20"/>
  <c r="J29" i="20" s="1"/>
  <c r="H29" i="20"/>
  <c r="A46" i="20"/>
  <c r="E46" i="20"/>
  <c r="L46" i="20"/>
  <c r="D46" i="20"/>
  <c r="G46" i="20"/>
  <c r="I28" i="20"/>
  <c r="J28" i="20" s="1"/>
  <c r="K28" i="20" s="1"/>
  <c r="H28" i="20"/>
  <c r="H27" i="20"/>
  <c r="I27" i="20"/>
  <c r="J27" i="20" s="1"/>
  <c r="K27" i="20" s="1"/>
  <c r="I26" i="20"/>
  <c r="J26" i="20" s="1"/>
  <c r="K26" i="20" s="1"/>
  <c r="H26" i="20"/>
  <c r="H24" i="20"/>
  <c r="I24" i="20"/>
  <c r="J24" i="20" s="1"/>
  <c r="K24" i="20" s="1"/>
  <c r="I23" i="20"/>
  <c r="J23" i="20" s="1"/>
  <c r="K23" i="20" s="1"/>
  <c r="H23" i="20"/>
  <c r="H22" i="20"/>
  <c r="I22" i="20"/>
  <c r="J22" i="20" s="1"/>
  <c r="G45" i="20"/>
  <c r="L45" i="20"/>
  <c r="I45" i="20"/>
  <c r="E45" i="20"/>
  <c r="A45" i="20"/>
  <c r="D45" i="20"/>
  <c r="I21" i="20"/>
  <c r="J21" i="20" s="1"/>
  <c r="K21" i="20" s="1"/>
  <c r="H21" i="20"/>
  <c r="I20" i="20"/>
  <c r="J20" i="20" s="1"/>
  <c r="K20" i="20" s="1"/>
  <c r="H20" i="20"/>
  <c r="H19" i="20"/>
  <c r="I19" i="20"/>
  <c r="J19" i="20" s="1"/>
  <c r="K19" i="20" s="1"/>
  <c r="I17" i="20"/>
  <c r="J17" i="20" s="1"/>
  <c r="K17" i="20" s="1"/>
  <c r="H17" i="20"/>
  <c r="H16" i="20"/>
  <c r="I16" i="20"/>
  <c r="J16" i="20" s="1"/>
  <c r="K16" i="20" s="1"/>
  <c r="H15" i="20"/>
  <c r="I15" i="20"/>
  <c r="J15" i="20" s="1"/>
  <c r="D44" i="20"/>
  <c r="G44" i="20"/>
  <c r="A44" i="20"/>
  <c r="L44" i="20"/>
  <c r="E44" i="20"/>
  <c r="I44" i="20"/>
  <c r="H14" i="20"/>
  <c r="I14" i="20"/>
  <c r="J14" i="20" s="1"/>
  <c r="K14" i="20" s="1"/>
  <c r="H13" i="20"/>
  <c r="I13" i="20"/>
  <c r="J13" i="20" s="1"/>
  <c r="K13" i="20" s="1"/>
  <c r="G5" i="20"/>
  <c r="H12" i="20"/>
  <c r="I12" i="20"/>
  <c r="G43" i="20"/>
  <c r="A43" i="20"/>
  <c r="L43" i="20"/>
  <c r="D43" i="20"/>
  <c r="G48" i="20"/>
  <c r="F32" i="1" s="1"/>
  <c r="I43" i="20"/>
  <c r="D48" i="20"/>
  <c r="D32" i="1" s="1"/>
  <c r="E48" i="20"/>
  <c r="E32" i="1" s="1"/>
  <c r="I48" i="20"/>
  <c r="G32" i="1" s="1"/>
  <c r="E43" i="20"/>
  <c r="I38" i="19"/>
  <c r="J38" i="19" s="1"/>
  <c r="K38" i="19" s="1"/>
  <c r="H38" i="19"/>
  <c r="H37" i="19"/>
  <c r="I37" i="19"/>
  <c r="J37" i="19" s="1"/>
  <c r="K37" i="19" s="1"/>
  <c r="H36" i="19"/>
  <c r="I36" i="19"/>
  <c r="J36" i="19" s="1"/>
  <c r="A47" i="19"/>
  <c r="I47" i="19"/>
  <c r="L47" i="19"/>
  <c r="D47" i="19"/>
  <c r="E47" i="19"/>
  <c r="G47" i="19"/>
  <c r="I35" i="19"/>
  <c r="J35" i="19" s="1"/>
  <c r="K35" i="19" s="1"/>
  <c r="H35" i="19"/>
  <c r="H34" i="19"/>
  <c r="I34" i="19"/>
  <c r="I33" i="19"/>
  <c r="J33" i="19" s="1"/>
  <c r="K33" i="19" s="1"/>
  <c r="H33" i="19"/>
  <c r="H31" i="19"/>
  <c r="I31" i="19"/>
  <c r="J31" i="19" s="1"/>
  <c r="K31" i="19" s="1"/>
  <c r="I30" i="19"/>
  <c r="J30" i="19" s="1"/>
  <c r="K30" i="19" s="1"/>
  <c r="H30" i="19"/>
  <c r="H29" i="19"/>
  <c r="I29" i="19"/>
  <c r="J29" i="19" s="1"/>
  <c r="K29" i="19" s="1"/>
  <c r="G46" i="19"/>
  <c r="L46" i="19"/>
  <c r="A46" i="19"/>
  <c r="D46" i="19"/>
  <c r="E46" i="19"/>
  <c r="I28" i="19"/>
  <c r="J28" i="19" s="1"/>
  <c r="K28" i="19" s="1"/>
  <c r="H28" i="19"/>
  <c r="H27" i="19"/>
  <c r="I27" i="19"/>
  <c r="J27" i="19" s="1"/>
  <c r="K27" i="19" s="1"/>
  <c r="I26" i="19"/>
  <c r="J26" i="19" s="1"/>
  <c r="K26" i="19" s="1"/>
  <c r="H26" i="19"/>
  <c r="H24" i="19"/>
  <c r="I24" i="19"/>
  <c r="J24" i="19" s="1"/>
  <c r="K24" i="19" s="1"/>
  <c r="I23" i="19"/>
  <c r="J23" i="19" s="1"/>
  <c r="K23" i="19" s="1"/>
  <c r="H23" i="19"/>
  <c r="H22" i="19"/>
  <c r="I22" i="19"/>
  <c r="J22" i="19" s="1"/>
  <c r="K22" i="19" s="1"/>
  <c r="D45" i="19"/>
  <c r="K45" i="19"/>
  <c r="A45" i="19"/>
  <c r="G45" i="19"/>
  <c r="E45" i="19"/>
  <c r="L45" i="19"/>
  <c r="J45" i="19"/>
  <c r="I45" i="19"/>
  <c r="I21" i="19"/>
  <c r="J21" i="19" s="1"/>
  <c r="K21" i="19" s="1"/>
  <c r="H21" i="19"/>
  <c r="H20" i="19"/>
  <c r="E5" i="19"/>
  <c r="E6" i="19"/>
  <c r="I20" i="19"/>
  <c r="J20" i="19" s="1"/>
  <c r="K20" i="19" s="1"/>
  <c r="H19" i="19"/>
  <c r="I19" i="19"/>
  <c r="J19" i="19" s="1"/>
  <c r="K19" i="19" s="1"/>
  <c r="I17" i="19"/>
  <c r="J17" i="19" s="1"/>
  <c r="K17" i="19" s="1"/>
  <c r="H17" i="19"/>
  <c r="I16" i="19"/>
  <c r="J16" i="19" s="1"/>
  <c r="K16" i="19" s="1"/>
  <c r="H16" i="19"/>
  <c r="H15" i="19"/>
  <c r="I15" i="19"/>
  <c r="J15" i="19" s="1"/>
  <c r="K15" i="19" s="1"/>
  <c r="A44" i="19"/>
  <c r="D44" i="19"/>
  <c r="L44" i="19"/>
  <c r="G44" i="19"/>
  <c r="J44" i="19"/>
  <c r="E44" i="19"/>
  <c r="K44" i="19"/>
  <c r="I44" i="19"/>
  <c r="H14" i="19"/>
  <c r="I14" i="19"/>
  <c r="J14" i="19" s="1"/>
  <c r="K14" i="19" s="1"/>
  <c r="I13" i="19"/>
  <c r="J13" i="19" s="1"/>
  <c r="K13" i="19" s="1"/>
  <c r="H13" i="19"/>
  <c r="I12" i="19"/>
  <c r="J12" i="19" s="1"/>
  <c r="K12" i="19" s="1"/>
  <c r="H12" i="19"/>
  <c r="H10" i="19"/>
  <c r="I10" i="19"/>
  <c r="J10" i="19" s="1"/>
  <c r="K10" i="19" s="1"/>
  <c r="G5" i="19"/>
  <c r="I9" i="19"/>
  <c r="J9" i="19" s="1"/>
  <c r="H9" i="19"/>
  <c r="I43" i="19"/>
  <c r="D48" i="19"/>
  <c r="D31" i="1" s="1"/>
  <c r="E43" i="19"/>
  <c r="G43" i="19"/>
  <c r="E48" i="19"/>
  <c r="E31" i="1" s="1"/>
  <c r="A43" i="19"/>
  <c r="L43" i="19"/>
  <c r="D43" i="19"/>
  <c r="G48" i="19"/>
  <c r="F31" i="1" s="1"/>
  <c r="L5" i="19"/>
  <c r="I43" i="18"/>
  <c r="J43" i="18" s="1"/>
  <c r="K43" i="18" s="1"/>
  <c r="H43" i="18"/>
  <c r="A55" i="18"/>
  <c r="D55" i="18"/>
  <c r="E55" i="18"/>
  <c r="G55" i="18"/>
  <c r="I55" i="18"/>
  <c r="J55" i="18"/>
  <c r="K55" i="18"/>
  <c r="L55" i="18"/>
  <c r="I42" i="18"/>
  <c r="J42" i="18" s="1"/>
  <c r="K42" i="18" s="1"/>
  <c r="H42" i="18"/>
  <c r="I41" i="18"/>
  <c r="J41" i="18" s="1"/>
  <c r="K41" i="18" s="1"/>
  <c r="H41" i="18"/>
  <c r="H40" i="18"/>
  <c r="I40" i="18"/>
  <c r="J40" i="18" s="1"/>
  <c r="K40" i="18" s="1"/>
  <c r="H38" i="18"/>
  <c r="I38" i="18"/>
  <c r="J38" i="18" s="1"/>
  <c r="K38" i="18" s="1"/>
  <c r="I37" i="18"/>
  <c r="J37" i="18" s="1"/>
  <c r="K37" i="18" s="1"/>
  <c r="H37" i="18"/>
  <c r="I36" i="18"/>
  <c r="J36" i="18" s="1"/>
  <c r="K36" i="18" s="1"/>
  <c r="H36" i="18"/>
  <c r="A54" i="18"/>
  <c r="D54" i="18"/>
  <c r="E54" i="18"/>
  <c r="G54" i="18"/>
  <c r="I54" i="18"/>
  <c r="J54" i="18"/>
  <c r="K54" i="18"/>
  <c r="L54" i="18"/>
  <c r="I35" i="18"/>
  <c r="J35" i="18" s="1"/>
  <c r="K35" i="18" s="1"/>
  <c r="H35" i="18"/>
  <c r="H34" i="18"/>
  <c r="I34" i="18"/>
  <c r="J34" i="18" s="1"/>
  <c r="K34" i="18" s="1"/>
  <c r="I33" i="18"/>
  <c r="J33" i="18" s="1"/>
  <c r="K33" i="18" s="1"/>
  <c r="H33" i="18"/>
  <c r="I31" i="18"/>
  <c r="J31" i="18" s="1"/>
  <c r="K31" i="18" s="1"/>
  <c r="H31" i="18"/>
  <c r="H30" i="18"/>
  <c r="I30" i="18"/>
  <c r="J30" i="18" s="1"/>
  <c r="K30" i="18" s="1"/>
  <c r="H29" i="18"/>
  <c r="I29" i="18"/>
  <c r="J29" i="18" s="1"/>
  <c r="A53" i="18"/>
  <c r="D53" i="18"/>
  <c r="E53" i="18"/>
  <c r="G53" i="18"/>
  <c r="I53" i="18"/>
  <c r="L53" i="18"/>
  <c r="H28" i="18"/>
  <c r="I28" i="18"/>
  <c r="J28" i="18" s="1"/>
  <c r="K28" i="18" s="1"/>
  <c r="H27" i="18"/>
  <c r="I27" i="18"/>
  <c r="J27" i="18" s="1"/>
  <c r="K27" i="18" s="1"/>
  <c r="H26" i="18"/>
  <c r="I26" i="18"/>
  <c r="J26" i="18" s="1"/>
  <c r="K26" i="18" s="1"/>
  <c r="H24" i="18"/>
  <c r="I24" i="18"/>
  <c r="J24" i="18" s="1"/>
  <c r="K24" i="18" s="1"/>
  <c r="I23" i="18"/>
  <c r="J23" i="18" s="1"/>
  <c r="K23" i="18" s="1"/>
  <c r="H23" i="18"/>
  <c r="H22" i="18"/>
  <c r="I22" i="18"/>
  <c r="A52" i="18"/>
  <c r="D52" i="18"/>
  <c r="E52" i="18"/>
  <c r="G52" i="18"/>
  <c r="L52" i="18"/>
  <c r="H21" i="18"/>
  <c r="I21" i="18"/>
  <c r="J21" i="18" s="1"/>
  <c r="K21" i="18" s="1"/>
  <c r="H20" i="18"/>
  <c r="I20" i="18"/>
  <c r="J20" i="18" s="1"/>
  <c r="K20" i="18" s="1"/>
  <c r="H19" i="18"/>
  <c r="I19" i="18"/>
  <c r="J19" i="18" s="1"/>
  <c r="K19" i="18" s="1"/>
  <c r="H17" i="18"/>
  <c r="I17" i="18"/>
  <c r="J17" i="18" s="1"/>
  <c r="K17" i="18" s="1"/>
  <c r="H16" i="18"/>
  <c r="I16" i="18"/>
  <c r="J16" i="18" s="1"/>
  <c r="K16" i="18" s="1"/>
  <c r="H15" i="18"/>
  <c r="I15" i="18"/>
  <c r="A51" i="18"/>
  <c r="D51" i="18"/>
  <c r="E51" i="18"/>
  <c r="G51" i="18"/>
  <c r="L51" i="18"/>
  <c r="I14" i="18"/>
  <c r="J14" i="18" s="1"/>
  <c r="H14" i="18"/>
  <c r="J13" i="18"/>
  <c r="J50" i="18" s="1"/>
  <c r="G5" i="18"/>
  <c r="I13" i="18"/>
  <c r="H13" i="18"/>
  <c r="L50" i="18"/>
  <c r="D56" i="18"/>
  <c r="D30" i="1" s="1"/>
  <c r="E56" i="18"/>
  <c r="E30" i="1" s="1"/>
  <c r="G50" i="18"/>
  <c r="G56" i="18"/>
  <c r="F30" i="1" s="1"/>
  <c r="A50" i="18"/>
  <c r="D50" i="18"/>
  <c r="I56" i="18"/>
  <c r="G30" i="1" s="1"/>
  <c r="E50" i="18"/>
  <c r="H40" i="17"/>
  <c r="I40" i="17"/>
  <c r="J40" i="17" s="1"/>
  <c r="K40" i="17" s="1"/>
  <c r="I38" i="17"/>
  <c r="J38" i="17" s="1"/>
  <c r="K38" i="17" s="1"/>
  <c r="H38" i="17"/>
  <c r="I37" i="17"/>
  <c r="J37" i="17" s="1"/>
  <c r="K37" i="17" s="1"/>
  <c r="H37" i="17"/>
  <c r="I36" i="17"/>
  <c r="H36" i="17"/>
  <c r="A47" i="17"/>
  <c r="G47" i="17"/>
  <c r="E47" i="17"/>
  <c r="D47" i="17"/>
  <c r="L47" i="17"/>
  <c r="I35" i="17"/>
  <c r="J35" i="17" s="1"/>
  <c r="K35" i="17" s="1"/>
  <c r="H35" i="17"/>
  <c r="H34" i="17"/>
  <c r="I34" i="17"/>
  <c r="J34" i="17" s="1"/>
  <c r="K34" i="17" s="1"/>
  <c r="H33" i="17"/>
  <c r="I33" i="17"/>
  <c r="J33" i="17" s="1"/>
  <c r="K33" i="17" s="1"/>
  <c r="I31" i="17"/>
  <c r="J31" i="17" s="1"/>
  <c r="K31" i="17" s="1"/>
  <c r="H31" i="17"/>
  <c r="I30" i="17"/>
  <c r="J30" i="17" s="1"/>
  <c r="K30" i="17" s="1"/>
  <c r="H30" i="17"/>
  <c r="I29" i="17"/>
  <c r="J29" i="17" s="1"/>
  <c r="H29" i="17"/>
  <c r="A46" i="17"/>
  <c r="L46" i="17"/>
  <c r="I46" i="17"/>
  <c r="G46" i="17"/>
  <c r="E46" i="17"/>
  <c r="D46" i="17"/>
  <c r="I28" i="17"/>
  <c r="J28" i="17" s="1"/>
  <c r="K28" i="17" s="1"/>
  <c r="H28" i="17"/>
  <c r="H27" i="17"/>
  <c r="I27" i="17"/>
  <c r="J27" i="17" s="1"/>
  <c r="K27" i="17" s="1"/>
  <c r="I26" i="17"/>
  <c r="J26" i="17" s="1"/>
  <c r="K26" i="17" s="1"/>
  <c r="H26" i="17"/>
  <c r="I24" i="17"/>
  <c r="J24" i="17" s="1"/>
  <c r="K24" i="17" s="1"/>
  <c r="H24" i="17"/>
  <c r="H23" i="17"/>
  <c r="I23" i="17"/>
  <c r="J23" i="17" s="1"/>
  <c r="K23" i="17" s="1"/>
  <c r="I22" i="17"/>
  <c r="J22" i="17" s="1"/>
  <c r="H22" i="17"/>
  <c r="L45" i="17"/>
  <c r="D45" i="17"/>
  <c r="G45" i="17"/>
  <c r="E45" i="17"/>
  <c r="A45" i="17"/>
  <c r="I45" i="17"/>
  <c r="I21" i="17"/>
  <c r="J21" i="17" s="1"/>
  <c r="K21" i="17" s="1"/>
  <c r="H21" i="17"/>
  <c r="H20" i="17"/>
  <c r="I20" i="17"/>
  <c r="J20" i="17" s="1"/>
  <c r="K20" i="17" s="1"/>
  <c r="H19" i="17"/>
  <c r="I19" i="17"/>
  <c r="J19" i="17" s="1"/>
  <c r="K19" i="17" s="1"/>
  <c r="I17" i="17"/>
  <c r="J17" i="17" s="1"/>
  <c r="K17" i="17" s="1"/>
  <c r="H17" i="17"/>
  <c r="H16" i="17"/>
  <c r="I16" i="17"/>
  <c r="J16" i="17" s="1"/>
  <c r="K16" i="17" s="1"/>
  <c r="I15" i="17"/>
  <c r="J15" i="17" s="1"/>
  <c r="H15" i="17"/>
  <c r="D44" i="17"/>
  <c r="A44" i="17"/>
  <c r="E44" i="17"/>
  <c r="L44" i="17"/>
  <c r="I44" i="17"/>
  <c r="G44" i="17"/>
  <c r="H14" i="17"/>
  <c r="I14" i="17"/>
  <c r="J14" i="17" s="1"/>
  <c r="K14" i="17" s="1"/>
  <c r="I13" i="17"/>
  <c r="J13" i="17" s="1"/>
  <c r="K13" i="17" s="1"/>
  <c r="H13" i="17"/>
  <c r="G5" i="17"/>
  <c r="I12" i="17"/>
  <c r="H12" i="17"/>
  <c r="E48" i="17"/>
  <c r="E29" i="1" s="1"/>
  <c r="D43" i="17"/>
  <c r="L43" i="17"/>
  <c r="G43" i="17"/>
  <c r="G48" i="17"/>
  <c r="F29" i="1" s="1"/>
  <c r="E43" i="17"/>
  <c r="I48" i="17"/>
  <c r="G29" i="1" s="1"/>
  <c r="A43" i="17"/>
  <c r="D48" i="17"/>
  <c r="D29" i="1" s="1"/>
  <c r="H38" i="16"/>
  <c r="I38" i="16"/>
  <c r="J38" i="16" s="1"/>
  <c r="K38" i="16" s="1"/>
  <c r="I37" i="16"/>
  <c r="J37" i="16" s="1"/>
  <c r="K37" i="16" s="1"/>
  <c r="H37" i="16"/>
  <c r="H36" i="16"/>
  <c r="I36" i="16"/>
  <c r="E47" i="16"/>
  <c r="A47" i="16"/>
  <c r="D47" i="16"/>
  <c r="G47" i="16"/>
  <c r="L47" i="16"/>
  <c r="I35" i="16"/>
  <c r="J35" i="16" s="1"/>
  <c r="K35" i="16" s="1"/>
  <c r="H35" i="16"/>
  <c r="H34" i="16"/>
  <c r="I34" i="16"/>
  <c r="J34" i="16" s="1"/>
  <c r="K34" i="16" s="1"/>
  <c r="H33" i="16"/>
  <c r="I33" i="16"/>
  <c r="J33" i="16" s="1"/>
  <c r="K33" i="16" s="1"/>
  <c r="I31" i="16"/>
  <c r="H31" i="16"/>
  <c r="H30" i="16"/>
  <c r="I30" i="16"/>
  <c r="J30" i="16" s="1"/>
  <c r="K30" i="16" s="1"/>
  <c r="H29" i="16"/>
  <c r="I29" i="16"/>
  <c r="J29" i="16" s="1"/>
  <c r="K29" i="16" s="1"/>
  <c r="G46" i="16"/>
  <c r="E46" i="16"/>
  <c r="A46" i="16"/>
  <c r="L46" i="16"/>
  <c r="D46" i="16"/>
  <c r="I28" i="16"/>
  <c r="J28" i="16" s="1"/>
  <c r="K28" i="16" s="1"/>
  <c r="H28" i="16"/>
  <c r="I27" i="16"/>
  <c r="J27" i="16" s="1"/>
  <c r="K27" i="16" s="1"/>
  <c r="H27" i="16"/>
  <c r="H26" i="16"/>
  <c r="I26" i="16"/>
  <c r="J26" i="16" s="1"/>
  <c r="K26" i="16" s="1"/>
  <c r="H24" i="16"/>
  <c r="I24" i="16"/>
  <c r="J24" i="16" s="1"/>
  <c r="K24" i="16" s="1"/>
  <c r="H23" i="16"/>
  <c r="I23" i="16"/>
  <c r="J23" i="16" s="1"/>
  <c r="K23" i="16" s="1"/>
  <c r="H22" i="16"/>
  <c r="I22" i="16"/>
  <c r="J22" i="16" s="1"/>
  <c r="K22" i="16" s="1"/>
  <c r="A45" i="16"/>
  <c r="L45" i="16"/>
  <c r="D45" i="16"/>
  <c r="I45" i="16"/>
  <c r="G45" i="16"/>
  <c r="J45" i="16"/>
  <c r="K45" i="16"/>
  <c r="E45" i="16"/>
  <c r="I21" i="16"/>
  <c r="J21" i="16" s="1"/>
  <c r="K21" i="16" s="1"/>
  <c r="H21" i="16"/>
  <c r="H20" i="16"/>
  <c r="I20" i="16"/>
  <c r="J20" i="16" s="1"/>
  <c r="K20" i="16" s="1"/>
  <c r="I19" i="16"/>
  <c r="J19" i="16" s="1"/>
  <c r="K19" i="16" s="1"/>
  <c r="H19" i="16"/>
  <c r="I17" i="16"/>
  <c r="J17" i="16" s="1"/>
  <c r="K17" i="16" s="1"/>
  <c r="H17" i="16"/>
  <c r="I16" i="16"/>
  <c r="J16" i="16" s="1"/>
  <c r="K16" i="16" s="1"/>
  <c r="H16" i="16"/>
  <c r="I15" i="16"/>
  <c r="J15" i="16" s="1"/>
  <c r="K15" i="16" s="1"/>
  <c r="H15" i="16"/>
  <c r="G44" i="16"/>
  <c r="I44" i="16"/>
  <c r="J44" i="16"/>
  <c r="D44" i="16"/>
  <c r="K44" i="16"/>
  <c r="A44" i="16"/>
  <c r="E44" i="16"/>
  <c r="L44" i="16"/>
  <c r="I14" i="16"/>
  <c r="J14" i="16" s="1"/>
  <c r="K14" i="16" s="1"/>
  <c r="H14" i="16"/>
  <c r="H13" i="16"/>
  <c r="I13" i="16"/>
  <c r="J13" i="16" s="1"/>
  <c r="K13" i="16" s="1"/>
  <c r="H12" i="16"/>
  <c r="I12" i="16"/>
  <c r="J12" i="16" s="1"/>
  <c r="K12" i="16" s="1"/>
  <c r="H10" i="16"/>
  <c r="I10" i="16"/>
  <c r="J10" i="16" s="1"/>
  <c r="K10" i="16" s="1"/>
  <c r="E6" i="16"/>
  <c r="E5" i="16"/>
  <c r="I9" i="16"/>
  <c r="J9" i="16" s="1"/>
  <c r="K9" i="16" s="1"/>
  <c r="H9" i="16"/>
  <c r="G5" i="16"/>
  <c r="H8" i="16"/>
  <c r="I8" i="16"/>
  <c r="J8" i="16" s="1"/>
  <c r="A43" i="16"/>
  <c r="D48" i="16"/>
  <c r="D28" i="1" s="1"/>
  <c r="E43" i="16"/>
  <c r="E48" i="16"/>
  <c r="E28" i="1" s="1"/>
  <c r="D43" i="16"/>
  <c r="I43" i="16"/>
  <c r="L43" i="16"/>
  <c r="G43" i="16"/>
  <c r="G48" i="16"/>
  <c r="F28" i="1" s="1"/>
  <c r="L5" i="16"/>
  <c r="H35" i="15"/>
  <c r="I35" i="15"/>
  <c r="J35" i="15" s="1"/>
  <c r="K35" i="15" s="1"/>
  <c r="I34" i="15"/>
  <c r="J34" i="15" s="1"/>
  <c r="K34" i="15" s="1"/>
  <c r="H34" i="15"/>
  <c r="H33" i="15"/>
  <c r="I33" i="15"/>
  <c r="J33" i="15" s="1"/>
  <c r="K33" i="15" s="1"/>
  <c r="H31" i="15"/>
  <c r="I31" i="15"/>
  <c r="J31" i="15" s="1"/>
  <c r="K31" i="15" s="1"/>
  <c r="I30" i="15"/>
  <c r="J30" i="15" s="1"/>
  <c r="K30" i="15" s="1"/>
  <c r="H30" i="15"/>
  <c r="I29" i="15"/>
  <c r="J29" i="15" s="1"/>
  <c r="K29" i="15" s="1"/>
  <c r="H29" i="15"/>
  <c r="A39" i="15"/>
  <c r="D39" i="15"/>
  <c r="E39" i="15"/>
  <c r="G39" i="15"/>
  <c r="I39" i="15"/>
  <c r="J39" i="15"/>
  <c r="K39" i="15"/>
  <c r="L39" i="15"/>
  <c r="I28" i="15"/>
  <c r="J28" i="15" s="1"/>
  <c r="K28" i="15" s="1"/>
  <c r="H28" i="15"/>
  <c r="H27" i="15"/>
  <c r="I27" i="15"/>
  <c r="J27" i="15" s="1"/>
  <c r="K27" i="15" s="1"/>
  <c r="I26" i="15"/>
  <c r="J26" i="15" s="1"/>
  <c r="K26" i="15" s="1"/>
  <c r="H26" i="15"/>
  <c r="H24" i="15"/>
  <c r="I24" i="15"/>
  <c r="J24" i="15" s="1"/>
  <c r="K24" i="15" s="1"/>
  <c r="I23" i="15"/>
  <c r="J23" i="15" s="1"/>
  <c r="K23" i="15" s="1"/>
  <c r="H23" i="15"/>
  <c r="I22" i="15"/>
  <c r="J22" i="15" s="1"/>
  <c r="K22" i="15" s="1"/>
  <c r="H22" i="15"/>
  <c r="A38" i="15"/>
  <c r="D38" i="15"/>
  <c r="E38" i="15"/>
  <c r="G38" i="15"/>
  <c r="I38" i="15"/>
  <c r="J38" i="15"/>
  <c r="K38" i="15"/>
  <c r="L38" i="15"/>
  <c r="I21" i="15"/>
  <c r="J21" i="15" s="1"/>
  <c r="K21" i="15" s="1"/>
  <c r="H21" i="15"/>
  <c r="I20" i="15"/>
  <c r="J20" i="15" s="1"/>
  <c r="K20" i="15" s="1"/>
  <c r="H20" i="15"/>
  <c r="I19" i="15"/>
  <c r="J19" i="15" s="1"/>
  <c r="K19" i="15" s="1"/>
  <c r="H19" i="15"/>
  <c r="H17" i="15"/>
  <c r="I17" i="15"/>
  <c r="J17" i="15" s="1"/>
  <c r="K17" i="15" s="1"/>
  <c r="I16" i="15"/>
  <c r="J16" i="15" s="1"/>
  <c r="K16" i="15" s="1"/>
  <c r="H16" i="15"/>
  <c r="I15" i="15"/>
  <c r="J15" i="15" s="1"/>
  <c r="K15" i="15" s="1"/>
  <c r="H15" i="15"/>
  <c r="A37" i="15"/>
  <c r="D37" i="15"/>
  <c r="E37" i="15"/>
  <c r="G37" i="15"/>
  <c r="I37" i="15"/>
  <c r="J37" i="15"/>
  <c r="K37" i="15"/>
  <c r="L37" i="15"/>
  <c r="I14" i="15"/>
  <c r="J14" i="15" s="1"/>
  <c r="K14" i="15" s="1"/>
  <c r="H14" i="15"/>
  <c r="I13" i="15"/>
  <c r="J13" i="15" s="1"/>
  <c r="K13" i="15" s="1"/>
  <c r="H13" i="15"/>
  <c r="H12" i="15"/>
  <c r="I12" i="15"/>
  <c r="J12" i="15" s="1"/>
  <c r="K12" i="15" s="1"/>
  <c r="I10" i="15"/>
  <c r="J10" i="15" s="1"/>
  <c r="K10" i="15" s="1"/>
  <c r="H10" i="15"/>
  <c r="I9" i="15"/>
  <c r="J9" i="15" s="1"/>
  <c r="K9" i="15" s="1"/>
  <c r="H9" i="15"/>
  <c r="G5" i="15"/>
  <c r="I8" i="15"/>
  <c r="H8" i="15"/>
  <c r="A36" i="15"/>
  <c r="D36" i="15"/>
  <c r="E36" i="15"/>
  <c r="G36" i="15"/>
  <c r="I36" i="15"/>
  <c r="L36" i="15"/>
  <c r="D40" i="15"/>
  <c r="D27" i="1" s="1"/>
  <c r="E40" i="15"/>
  <c r="E27" i="1" s="1"/>
  <c r="G40" i="15"/>
  <c r="F27" i="1" s="1"/>
  <c r="I40" i="15"/>
  <c r="G27" i="1" s="1"/>
  <c r="L5" i="15"/>
  <c r="H42" i="14"/>
  <c r="I42" i="14"/>
  <c r="J42" i="14" s="1"/>
  <c r="K42" i="14" s="1"/>
  <c r="H41" i="14"/>
  <c r="I41" i="14"/>
  <c r="J41" i="14" s="1"/>
  <c r="K41" i="14" s="1"/>
  <c r="I40" i="14"/>
  <c r="J40" i="14" s="1"/>
  <c r="K40" i="14" s="1"/>
  <c r="H40" i="14"/>
  <c r="I38" i="14"/>
  <c r="J38" i="14" s="1"/>
  <c r="K38" i="14" s="1"/>
  <c r="H38" i="14"/>
  <c r="I37" i="14"/>
  <c r="J37" i="14" s="1"/>
  <c r="K37" i="14" s="1"/>
  <c r="H37" i="14"/>
  <c r="I36" i="14"/>
  <c r="J36" i="14" s="1"/>
  <c r="K36" i="14" s="1"/>
  <c r="K47" i="14" s="1"/>
  <c r="H36" i="14"/>
  <c r="A47" i="14"/>
  <c r="D47" i="14"/>
  <c r="E47" i="14"/>
  <c r="G47" i="14"/>
  <c r="I47" i="14"/>
  <c r="J47" i="14"/>
  <c r="L47" i="14"/>
  <c r="H35" i="14"/>
  <c r="I35" i="14"/>
  <c r="J35" i="14" s="1"/>
  <c r="K35" i="14" s="1"/>
  <c r="H34" i="14"/>
  <c r="I34" i="14"/>
  <c r="J34" i="14" s="1"/>
  <c r="K34" i="14" s="1"/>
  <c r="I33" i="14"/>
  <c r="J33" i="14" s="1"/>
  <c r="K33" i="14" s="1"/>
  <c r="H33" i="14"/>
  <c r="I31" i="14"/>
  <c r="J31" i="14" s="1"/>
  <c r="K31" i="14" s="1"/>
  <c r="H31" i="14"/>
  <c r="I30" i="14"/>
  <c r="J30" i="14" s="1"/>
  <c r="K30" i="14" s="1"/>
  <c r="H30" i="14"/>
  <c r="I29" i="14"/>
  <c r="J29" i="14" s="1"/>
  <c r="H29" i="14"/>
  <c r="A46" i="14"/>
  <c r="D46" i="14"/>
  <c r="E46" i="14"/>
  <c r="G46" i="14"/>
  <c r="I46" i="14"/>
  <c r="L46" i="14"/>
  <c r="I28" i="14"/>
  <c r="J28" i="14" s="1"/>
  <c r="K28" i="14" s="1"/>
  <c r="H28" i="14"/>
  <c r="H27" i="14"/>
  <c r="I27" i="14"/>
  <c r="J27" i="14" s="1"/>
  <c r="K27" i="14" s="1"/>
  <c r="H26" i="14"/>
  <c r="I26" i="14"/>
  <c r="J26" i="14" s="1"/>
  <c r="K26" i="14" s="1"/>
  <c r="I24" i="14"/>
  <c r="J24" i="14" s="1"/>
  <c r="K24" i="14" s="1"/>
  <c r="H24" i="14"/>
  <c r="I23" i="14"/>
  <c r="J23" i="14" s="1"/>
  <c r="K23" i="14" s="1"/>
  <c r="H23" i="14"/>
  <c r="H22" i="14"/>
  <c r="I22" i="14"/>
  <c r="J22" i="14" s="1"/>
  <c r="A45" i="14"/>
  <c r="D45" i="14"/>
  <c r="E45" i="14"/>
  <c r="G45" i="14"/>
  <c r="I45" i="14"/>
  <c r="L45" i="14"/>
  <c r="H21" i="14"/>
  <c r="I21" i="14"/>
  <c r="J21" i="14" s="1"/>
  <c r="K21" i="14" s="1"/>
  <c r="H20" i="14"/>
  <c r="I20" i="14"/>
  <c r="J20" i="14" s="1"/>
  <c r="K20" i="14" s="1"/>
  <c r="H19" i="14"/>
  <c r="I19" i="14"/>
  <c r="J19" i="14" s="1"/>
  <c r="K19" i="14" s="1"/>
  <c r="H17" i="14"/>
  <c r="I17" i="14"/>
  <c r="J17" i="14" s="1"/>
  <c r="K17" i="14" s="1"/>
  <c r="I16" i="14"/>
  <c r="J16" i="14" s="1"/>
  <c r="K16" i="14" s="1"/>
  <c r="H16" i="14"/>
  <c r="H15" i="14"/>
  <c r="I15" i="14"/>
  <c r="J15" i="14" s="1"/>
  <c r="A44" i="14"/>
  <c r="D44" i="14"/>
  <c r="E44" i="14"/>
  <c r="G44" i="14"/>
  <c r="I44" i="14"/>
  <c r="L44" i="14"/>
  <c r="I14" i="14"/>
  <c r="J14" i="14" s="1"/>
  <c r="K14" i="14" s="1"/>
  <c r="H14" i="14"/>
  <c r="I13" i="14"/>
  <c r="J13" i="14" s="1"/>
  <c r="K13" i="14" s="1"/>
  <c r="H13" i="14"/>
  <c r="G5" i="14"/>
  <c r="I12" i="14"/>
  <c r="H12" i="14"/>
  <c r="A43" i="14"/>
  <c r="D43" i="14"/>
  <c r="E43" i="14"/>
  <c r="G43" i="14"/>
  <c r="I43" i="14"/>
  <c r="E48" i="14"/>
  <c r="E26" i="1" s="1"/>
  <c r="E38" i="1" s="1"/>
  <c r="L43" i="14"/>
  <c r="D48" i="14"/>
  <c r="D26" i="1" s="1"/>
  <c r="D38" i="1" s="1"/>
  <c r="G48" i="14"/>
  <c r="F26" i="1" s="1"/>
  <c r="F38" i="1" s="1"/>
  <c r="I48" i="14"/>
  <c r="G26" i="1" s="1"/>
  <c r="I38" i="13"/>
  <c r="J38" i="13" s="1"/>
  <c r="K38" i="13" s="1"/>
  <c r="H38" i="13"/>
  <c r="H37" i="13"/>
  <c r="I37" i="13"/>
  <c r="J37" i="13" s="1"/>
  <c r="K37" i="13" s="1"/>
  <c r="I36" i="13"/>
  <c r="H36" i="13"/>
  <c r="A47" i="13"/>
  <c r="D47" i="13"/>
  <c r="E47" i="13"/>
  <c r="G47" i="13"/>
  <c r="L47" i="13"/>
  <c r="I35" i="13"/>
  <c r="J35" i="13" s="1"/>
  <c r="K35" i="13" s="1"/>
  <c r="H35" i="13"/>
  <c r="H34" i="13"/>
  <c r="I34" i="13"/>
  <c r="J34" i="13" s="1"/>
  <c r="K34" i="13" s="1"/>
  <c r="I33" i="13"/>
  <c r="J33" i="13" s="1"/>
  <c r="K33" i="13" s="1"/>
  <c r="H33" i="13"/>
  <c r="H31" i="13"/>
  <c r="I31" i="13"/>
  <c r="J31" i="13" s="1"/>
  <c r="K31" i="13" s="1"/>
  <c r="I30" i="13"/>
  <c r="J30" i="13" s="1"/>
  <c r="K30" i="13" s="1"/>
  <c r="H30" i="13"/>
  <c r="I29" i="13"/>
  <c r="J29" i="13" s="1"/>
  <c r="H29" i="13"/>
  <c r="A46" i="13"/>
  <c r="D46" i="13"/>
  <c r="E46" i="13"/>
  <c r="G46" i="13"/>
  <c r="I46" i="13"/>
  <c r="L46" i="13"/>
  <c r="I28" i="13"/>
  <c r="H28" i="13"/>
  <c r="H27" i="13"/>
  <c r="I27" i="13"/>
  <c r="J27" i="13" s="1"/>
  <c r="K27" i="13" s="1"/>
  <c r="I26" i="13"/>
  <c r="J26" i="13" s="1"/>
  <c r="K26" i="13" s="1"/>
  <c r="H26" i="13"/>
  <c r="I24" i="13"/>
  <c r="J24" i="13" s="1"/>
  <c r="K24" i="13" s="1"/>
  <c r="H24" i="13"/>
  <c r="H23" i="13"/>
  <c r="I23" i="13"/>
  <c r="J23" i="13" s="1"/>
  <c r="K23" i="13" s="1"/>
  <c r="H22" i="13"/>
  <c r="I22" i="13"/>
  <c r="J22" i="13" s="1"/>
  <c r="K22" i="13" s="1"/>
  <c r="A45" i="13"/>
  <c r="D45" i="13"/>
  <c r="E45" i="13"/>
  <c r="G45" i="13"/>
  <c r="L45" i="13"/>
  <c r="H21" i="13"/>
  <c r="I21" i="13"/>
  <c r="J21" i="13" s="1"/>
  <c r="K21" i="13" s="1"/>
  <c r="H20" i="13"/>
  <c r="I20" i="13"/>
  <c r="J20" i="13" s="1"/>
  <c r="K20" i="13" s="1"/>
  <c r="H19" i="13"/>
  <c r="I19" i="13"/>
  <c r="J19" i="13" s="1"/>
  <c r="K19" i="13" s="1"/>
  <c r="I17" i="13"/>
  <c r="J17" i="13" s="1"/>
  <c r="K17" i="13" s="1"/>
  <c r="H17" i="13"/>
  <c r="I16" i="13"/>
  <c r="J16" i="13" s="1"/>
  <c r="K16" i="13" s="1"/>
  <c r="H16" i="13"/>
  <c r="H15" i="13"/>
  <c r="I15" i="13"/>
  <c r="J15" i="13" s="1"/>
  <c r="K15" i="13" s="1"/>
  <c r="A44" i="13"/>
  <c r="D44" i="13"/>
  <c r="E44" i="13"/>
  <c r="G44" i="13"/>
  <c r="I44" i="13"/>
  <c r="J44" i="13"/>
  <c r="K44" i="13"/>
  <c r="L44" i="13"/>
  <c r="I14" i="13"/>
  <c r="J14" i="13" s="1"/>
  <c r="K14" i="13" s="1"/>
  <c r="H14" i="13"/>
  <c r="H13" i="13"/>
  <c r="I13" i="13"/>
  <c r="J13" i="13" s="1"/>
  <c r="K13" i="13" s="1"/>
  <c r="H12" i="13"/>
  <c r="I12" i="13"/>
  <c r="J12" i="13" s="1"/>
  <c r="K12" i="13" s="1"/>
  <c r="I10" i="13"/>
  <c r="J10" i="13" s="1"/>
  <c r="K10" i="13" s="1"/>
  <c r="H10" i="13"/>
  <c r="G5" i="13"/>
  <c r="I9" i="13"/>
  <c r="J9" i="13" s="1"/>
  <c r="H9" i="13"/>
  <c r="I43" i="13"/>
  <c r="G43" i="13"/>
  <c r="D43" i="13"/>
  <c r="A43" i="13"/>
  <c r="E43" i="13"/>
  <c r="G48" i="13"/>
  <c r="F21" i="1" s="1"/>
  <c r="E48" i="13"/>
  <c r="E21" i="1" s="1"/>
  <c r="D48" i="13"/>
  <c r="D21" i="1" s="1"/>
  <c r="L43" i="13"/>
  <c r="I43" i="12"/>
  <c r="J43" i="12" s="1"/>
  <c r="K43" i="12" s="1"/>
  <c r="H43" i="12"/>
  <c r="J55" i="12"/>
  <c r="E55" i="12"/>
  <c r="A55" i="12"/>
  <c r="G55" i="12"/>
  <c r="D55" i="12"/>
  <c r="I55" i="12"/>
  <c r="K55" i="12"/>
  <c r="L55" i="12"/>
  <c r="H42" i="12"/>
  <c r="I42" i="12"/>
  <c r="J42" i="12" s="1"/>
  <c r="K42" i="12" s="1"/>
  <c r="H41" i="12"/>
  <c r="I41" i="12"/>
  <c r="J41" i="12" s="1"/>
  <c r="K41" i="12" s="1"/>
  <c r="H40" i="12"/>
  <c r="I40" i="12"/>
  <c r="J40" i="12" s="1"/>
  <c r="K40" i="12" s="1"/>
  <c r="I38" i="12"/>
  <c r="J38" i="12" s="1"/>
  <c r="K38" i="12" s="1"/>
  <c r="H38" i="12"/>
  <c r="H37" i="12"/>
  <c r="I37" i="12"/>
  <c r="J37" i="12" s="1"/>
  <c r="K37" i="12" s="1"/>
  <c r="I36" i="12"/>
  <c r="J36" i="12" s="1"/>
  <c r="H36" i="12"/>
  <c r="D54" i="12"/>
  <c r="G54" i="12"/>
  <c r="E54" i="12"/>
  <c r="L54" i="12"/>
  <c r="I54" i="12"/>
  <c r="A54" i="12"/>
  <c r="I35" i="12"/>
  <c r="J35" i="12" s="1"/>
  <c r="K35" i="12" s="1"/>
  <c r="H35" i="12"/>
  <c r="E6" i="12"/>
  <c r="H34" i="12"/>
  <c r="I34" i="12"/>
  <c r="J34" i="12" s="1"/>
  <c r="K34" i="12" s="1"/>
  <c r="E5" i="12"/>
  <c r="H31" i="12"/>
  <c r="I31" i="12"/>
  <c r="J31" i="12" s="1"/>
  <c r="K31" i="12" s="1"/>
  <c r="I30" i="12"/>
  <c r="J30" i="12" s="1"/>
  <c r="K30" i="12" s="1"/>
  <c r="H30" i="12"/>
  <c r="H29" i="12"/>
  <c r="I29" i="12"/>
  <c r="A53" i="12"/>
  <c r="D53" i="12"/>
  <c r="E53" i="12"/>
  <c r="G53" i="12"/>
  <c r="L53" i="12"/>
  <c r="H28" i="12"/>
  <c r="I28" i="12"/>
  <c r="J28" i="12" s="1"/>
  <c r="K28" i="12" s="1"/>
  <c r="I27" i="12"/>
  <c r="J27" i="12" s="1"/>
  <c r="K27" i="12" s="1"/>
  <c r="H27" i="12"/>
  <c r="I26" i="12"/>
  <c r="J26" i="12" s="1"/>
  <c r="K26" i="12" s="1"/>
  <c r="H26" i="12"/>
  <c r="I24" i="12"/>
  <c r="J24" i="12" s="1"/>
  <c r="K24" i="12" s="1"/>
  <c r="H24" i="12"/>
  <c r="H23" i="12"/>
  <c r="I23" i="12"/>
  <c r="J23" i="12" s="1"/>
  <c r="K23" i="12" s="1"/>
  <c r="I22" i="12"/>
  <c r="H22" i="12"/>
  <c r="D52" i="12"/>
  <c r="L52" i="12"/>
  <c r="G52" i="12"/>
  <c r="A52" i="12"/>
  <c r="E52" i="12"/>
  <c r="I21" i="12"/>
  <c r="J21" i="12" s="1"/>
  <c r="K21" i="12" s="1"/>
  <c r="H21" i="12"/>
  <c r="I20" i="12"/>
  <c r="J20" i="12" s="1"/>
  <c r="K20" i="12" s="1"/>
  <c r="H20" i="12"/>
  <c r="H19" i="12"/>
  <c r="I19" i="12"/>
  <c r="J19" i="12" s="1"/>
  <c r="K19" i="12" s="1"/>
  <c r="I17" i="12"/>
  <c r="J17" i="12" s="1"/>
  <c r="K17" i="12" s="1"/>
  <c r="H17" i="12"/>
  <c r="H16" i="12"/>
  <c r="I16" i="12"/>
  <c r="J16" i="12" s="1"/>
  <c r="K16" i="12" s="1"/>
  <c r="H15" i="12"/>
  <c r="I15" i="12"/>
  <c r="J15" i="12" s="1"/>
  <c r="D51" i="12"/>
  <c r="A51" i="12"/>
  <c r="G51" i="12"/>
  <c r="L51" i="12"/>
  <c r="E51" i="12"/>
  <c r="I51" i="12"/>
  <c r="G5" i="12"/>
  <c r="I14" i="12"/>
  <c r="H14" i="12"/>
  <c r="G50" i="12"/>
  <c r="A50" i="12"/>
  <c r="D56" i="12"/>
  <c r="D20" i="1" s="1"/>
  <c r="E56" i="12"/>
  <c r="E20" i="1" s="1"/>
  <c r="E50" i="12"/>
  <c r="G56" i="12"/>
  <c r="F20" i="1" s="1"/>
  <c r="D50" i="12"/>
  <c r="L50" i="12"/>
  <c r="L5" i="12"/>
  <c r="I41" i="11"/>
  <c r="J41" i="11" s="1"/>
  <c r="K41" i="11" s="1"/>
  <c r="H41" i="11"/>
  <c r="H40" i="11"/>
  <c r="I40" i="11"/>
  <c r="J40" i="11" s="1"/>
  <c r="K40" i="11" s="1"/>
  <c r="I38" i="11"/>
  <c r="J38" i="11" s="1"/>
  <c r="K38" i="11" s="1"/>
  <c r="H38" i="11"/>
  <c r="I37" i="11"/>
  <c r="J37" i="11" s="1"/>
  <c r="K37" i="11" s="1"/>
  <c r="H37" i="11"/>
  <c r="H36" i="11"/>
  <c r="I36" i="11"/>
  <c r="A47" i="11"/>
  <c r="D47" i="11"/>
  <c r="E47" i="11"/>
  <c r="G47" i="11"/>
  <c r="L47" i="11"/>
  <c r="H35" i="11"/>
  <c r="I35" i="11"/>
  <c r="J35" i="11" s="1"/>
  <c r="K35" i="11" s="1"/>
  <c r="H34" i="11"/>
  <c r="I34" i="11"/>
  <c r="J34" i="11" s="1"/>
  <c r="K34" i="11" s="1"/>
  <c r="I33" i="11"/>
  <c r="J33" i="11" s="1"/>
  <c r="K33" i="11" s="1"/>
  <c r="H33" i="11"/>
  <c r="H31" i="11"/>
  <c r="I31" i="11"/>
  <c r="J31" i="11" s="1"/>
  <c r="K31" i="11" s="1"/>
  <c r="I30" i="11"/>
  <c r="J30" i="11" s="1"/>
  <c r="K30" i="11" s="1"/>
  <c r="H30" i="11"/>
  <c r="H29" i="11"/>
  <c r="I29" i="11"/>
  <c r="J29" i="11" s="1"/>
  <c r="A46" i="11"/>
  <c r="D46" i="11"/>
  <c r="E46" i="11"/>
  <c r="G46" i="11"/>
  <c r="I46" i="11"/>
  <c r="L46" i="11"/>
  <c r="I28" i="11"/>
  <c r="J28" i="11" s="1"/>
  <c r="K28" i="11" s="1"/>
  <c r="H28" i="11"/>
  <c r="I27" i="11"/>
  <c r="J27" i="11" s="1"/>
  <c r="K27" i="11" s="1"/>
  <c r="H27" i="11"/>
  <c r="H26" i="11"/>
  <c r="I26" i="11"/>
  <c r="J26" i="11" s="1"/>
  <c r="K26" i="11" s="1"/>
  <c r="H24" i="11"/>
  <c r="I24" i="11"/>
  <c r="J24" i="11" s="1"/>
  <c r="K24" i="11" s="1"/>
  <c r="H22" i="11"/>
  <c r="I22" i="11"/>
  <c r="J22" i="11" s="1"/>
  <c r="A45" i="11"/>
  <c r="D45" i="11"/>
  <c r="E45" i="11"/>
  <c r="G45" i="11"/>
  <c r="I45" i="11"/>
  <c r="L45" i="11"/>
  <c r="I21" i="11"/>
  <c r="J21" i="11" s="1"/>
  <c r="K21" i="11" s="1"/>
  <c r="H21" i="11"/>
  <c r="I20" i="11"/>
  <c r="J20" i="11" s="1"/>
  <c r="K20" i="11" s="1"/>
  <c r="H20" i="11"/>
  <c r="H17" i="11"/>
  <c r="I17" i="11"/>
  <c r="J17" i="11" s="1"/>
  <c r="K17" i="11" s="1"/>
  <c r="I16" i="11"/>
  <c r="H16" i="11"/>
  <c r="A44" i="11"/>
  <c r="D44" i="11"/>
  <c r="E44" i="11"/>
  <c r="G44" i="11"/>
  <c r="L44" i="11"/>
  <c r="I14" i="11"/>
  <c r="J14" i="11" s="1"/>
  <c r="K14" i="11" s="1"/>
  <c r="H14" i="11"/>
  <c r="I13" i="11"/>
  <c r="H13" i="11"/>
  <c r="K12" i="11"/>
  <c r="E5" i="11"/>
  <c r="E6" i="11"/>
  <c r="I48" i="11"/>
  <c r="G19" i="1" s="1"/>
  <c r="G48" i="11"/>
  <c r="F19" i="1" s="1"/>
  <c r="E48" i="11"/>
  <c r="E19" i="1" s="1"/>
  <c r="D48" i="11"/>
  <c r="D19" i="1" s="1"/>
  <c r="D43" i="11"/>
  <c r="L43" i="11"/>
  <c r="I43" i="11"/>
  <c r="A43" i="11"/>
  <c r="E43" i="11"/>
  <c r="G43" i="11"/>
  <c r="I38" i="10"/>
  <c r="J38" i="10" s="1"/>
  <c r="K38" i="10" s="1"/>
  <c r="H38" i="10"/>
  <c r="H37" i="10"/>
  <c r="I37" i="10"/>
  <c r="J37" i="10" s="1"/>
  <c r="K37" i="10" s="1"/>
  <c r="I36" i="10"/>
  <c r="J36" i="10" s="1"/>
  <c r="H36" i="10"/>
  <c r="A47" i="10"/>
  <c r="I47" i="10"/>
  <c r="G47" i="10"/>
  <c r="D47" i="10"/>
  <c r="E47" i="10"/>
  <c r="L47" i="10"/>
  <c r="H35" i="10"/>
  <c r="I35" i="10"/>
  <c r="J35" i="10" s="1"/>
  <c r="K35" i="10" s="1"/>
  <c r="I34" i="10"/>
  <c r="J34" i="10" s="1"/>
  <c r="K34" i="10" s="1"/>
  <c r="H34" i="10"/>
  <c r="H33" i="10"/>
  <c r="I33" i="10"/>
  <c r="J33" i="10" s="1"/>
  <c r="K33" i="10" s="1"/>
  <c r="H31" i="10"/>
  <c r="I31" i="10"/>
  <c r="J31" i="10" s="1"/>
  <c r="K31" i="10" s="1"/>
  <c r="H30" i="10"/>
  <c r="I30" i="10"/>
  <c r="J30" i="10" s="1"/>
  <c r="K30" i="10" s="1"/>
  <c r="H29" i="10"/>
  <c r="I29" i="10"/>
  <c r="G46" i="10"/>
  <c r="D46" i="10"/>
  <c r="E46" i="10"/>
  <c r="A46" i="10"/>
  <c r="L46" i="10"/>
  <c r="H28" i="10"/>
  <c r="I28" i="10"/>
  <c r="J28" i="10" s="1"/>
  <c r="K28" i="10" s="1"/>
  <c r="H27" i="10"/>
  <c r="I27" i="10"/>
  <c r="J27" i="10" s="1"/>
  <c r="K27" i="10" s="1"/>
  <c r="H26" i="10"/>
  <c r="I26" i="10"/>
  <c r="J26" i="10" s="1"/>
  <c r="K26" i="10" s="1"/>
  <c r="I24" i="10"/>
  <c r="J24" i="10" s="1"/>
  <c r="K24" i="10" s="1"/>
  <c r="H24" i="10"/>
  <c r="H23" i="10"/>
  <c r="I23" i="10"/>
  <c r="J23" i="10" s="1"/>
  <c r="K23" i="10" s="1"/>
  <c r="I22" i="10"/>
  <c r="H22" i="10"/>
  <c r="D45" i="10"/>
  <c r="E45" i="10"/>
  <c r="L45" i="10"/>
  <c r="G45" i="10"/>
  <c r="A45" i="10"/>
  <c r="I21" i="10"/>
  <c r="J21" i="10" s="1"/>
  <c r="K21" i="10" s="1"/>
  <c r="H21" i="10"/>
  <c r="I20" i="10"/>
  <c r="J20" i="10" s="1"/>
  <c r="K20" i="10" s="1"/>
  <c r="H20" i="10"/>
  <c r="I19" i="10"/>
  <c r="J19" i="10" s="1"/>
  <c r="K19" i="10" s="1"/>
  <c r="H19" i="10"/>
  <c r="H17" i="10"/>
  <c r="I17" i="10"/>
  <c r="J17" i="10" s="1"/>
  <c r="K17" i="10" s="1"/>
  <c r="H15" i="10"/>
  <c r="I15" i="10"/>
  <c r="J15" i="10" s="1"/>
  <c r="K15" i="10" s="1"/>
  <c r="E44" i="10"/>
  <c r="K44" i="10"/>
  <c r="A44" i="10"/>
  <c r="I44" i="10"/>
  <c r="L44" i="10"/>
  <c r="D44" i="10"/>
  <c r="G44" i="10"/>
  <c r="J44" i="10"/>
  <c r="H14" i="10"/>
  <c r="I14" i="10"/>
  <c r="J14" i="10" s="1"/>
  <c r="K14" i="10" s="1"/>
  <c r="H13" i="10"/>
  <c r="I13" i="10"/>
  <c r="J13" i="10" s="1"/>
  <c r="K13" i="10" s="1"/>
  <c r="I12" i="10"/>
  <c r="J12" i="10" s="1"/>
  <c r="K12" i="10" s="1"/>
  <c r="H12" i="10"/>
  <c r="I10" i="10"/>
  <c r="J10" i="10" s="1"/>
  <c r="K10" i="10" s="1"/>
  <c r="H10" i="10"/>
  <c r="G5" i="10"/>
  <c r="I9" i="10"/>
  <c r="J9" i="10" s="1"/>
  <c r="H9" i="10"/>
  <c r="E48" i="10"/>
  <c r="E18" i="1" s="1"/>
  <c r="L43" i="10"/>
  <c r="G48" i="10"/>
  <c r="F18" i="1" s="1"/>
  <c r="D48" i="10"/>
  <c r="D18" i="1" s="1"/>
  <c r="G43" i="10"/>
  <c r="A43" i="10"/>
  <c r="I43" i="10"/>
  <c r="E43" i="10"/>
  <c r="D43" i="10"/>
  <c r="H43" i="9"/>
  <c r="I43" i="9"/>
  <c r="J43" i="9" s="1"/>
  <c r="K43" i="9" s="1"/>
  <c r="E55" i="9"/>
  <c r="J55" i="9"/>
  <c r="D55" i="9"/>
  <c r="K55" i="9"/>
  <c r="A55" i="9"/>
  <c r="I55" i="9"/>
  <c r="G55" i="9"/>
  <c r="L55" i="9"/>
  <c r="H42" i="9"/>
  <c r="I42" i="9"/>
  <c r="J42" i="9" s="1"/>
  <c r="K42" i="9" s="1"/>
  <c r="H41" i="9"/>
  <c r="I41" i="9"/>
  <c r="J41" i="9" s="1"/>
  <c r="K41" i="9" s="1"/>
  <c r="H40" i="9"/>
  <c r="I40" i="9"/>
  <c r="J40" i="9" s="1"/>
  <c r="K40" i="9" s="1"/>
  <c r="I38" i="9"/>
  <c r="J38" i="9" s="1"/>
  <c r="K38" i="9" s="1"/>
  <c r="H38" i="9"/>
  <c r="I37" i="9"/>
  <c r="J37" i="9" s="1"/>
  <c r="K37" i="9" s="1"/>
  <c r="H37" i="9"/>
  <c r="I36" i="9"/>
  <c r="J36" i="9" s="1"/>
  <c r="K36" i="9" s="1"/>
  <c r="H36" i="9"/>
  <c r="D54" i="9"/>
  <c r="L54" i="9"/>
  <c r="G54" i="9"/>
  <c r="K54" i="9"/>
  <c r="J54" i="9"/>
  <c r="E54" i="9"/>
  <c r="A54" i="9"/>
  <c r="I54" i="9"/>
  <c r="H35" i="9"/>
  <c r="I35" i="9"/>
  <c r="J35" i="9" s="1"/>
  <c r="K35" i="9" s="1"/>
  <c r="H34" i="9"/>
  <c r="I34" i="9"/>
  <c r="J34" i="9" s="1"/>
  <c r="K34" i="9" s="1"/>
  <c r="I33" i="9"/>
  <c r="J33" i="9" s="1"/>
  <c r="K33" i="9" s="1"/>
  <c r="H33" i="9"/>
  <c r="I30" i="9"/>
  <c r="J30" i="9" s="1"/>
  <c r="K30" i="9" s="1"/>
  <c r="H30" i="9"/>
  <c r="H29" i="9"/>
  <c r="I29" i="9"/>
  <c r="J29" i="9" s="1"/>
  <c r="K29" i="9" s="1"/>
  <c r="E53" i="9"/>
  <c r="K53" i="9"/>
  <c r="D53" i="9"/>
  <c r="J53" i="9"/>
  <c r="G53" i="9"/>
  <c r="I53" i="9"/>
  <c r="L53" i="9"/>
  <c r="A53" i="9"/>
  <c r="I28" i="9"/>
  <c r="J28" i="9" s="1"/>
  <c r="K28" i="9" s="1"/>
  <c r="H28" i="9"/>
  <c r="H27" i="9"/>
  <c r="I27" i="9"/>
  <c r="J27" i="9" s="1"/>
  <c r="K27" i="9" s="1"/>
  <c r="H26" i="9"/>
  <c r="I26" i="9"/>
  <c r="J26" i="9" s="1"/>
  <c r="K26" i="9" s="1"/>
  <c r="I24" i="9"/>
  <c r="J24" i="9" s="1"/>
  <c r="K24" i="9" s="1"/>
  <c r="E6" i="9"/>
  <c r="E5" i="9"/>
  <c r="H24" i="9"/>
  <c r="I23" i="9"/>
  <c r="J23" i="9" s="1"/>
  <c r="K23" i="9" s="1"/>
  <c r="H23" i="9"/>
  <c r="I22" i="9"/>
  <c r="J22" i="9" s="1"/>
  <c r="K22" i="9" s="1"/>
  <c r="H22" i="9"/>
  <c r="G52" i="9"/>
  <c r="A52" i="9"/>
  <c r="K52" i="9"/>
  <c r="E52" i="9"/>
  <c r="D52" i="9"/>
  <c r="J52" i="9"/>
  <c r="I52" i="9"/>
  <c r="L52" i="9"/>
  <c r="H21" i="9"/>
  <c r="I21" i="9"/>
  <c r="J21" i="9" s="1"/>
  <c r="K21" i="9" s="1"/>
  <c r="H20" i="9"/>
  <c r="I20" i="9"/>
  <c r="J20" i="9" s="1"/>
  <c r="K20" i="9" s="1"/>
  <c r="H19" i="9"/>
  <c r="I19" i="9"/>
  <c r="J19" i="9" s="1"/>
  <c r="K19" i="9" s="1"/>
  <c r="H17" i="9"/>
  <c r="I17" i="9"/>
  <c r="J17" i="9" s="1"/>
  <c r="K17" i="9" s="1"/>
  <c r="H16" i="9"/>
  <c r="I16" i="9"/>
  <c r="J16" i="9" s="1"/>
  <c r="K16" i="9" s="1"/>
  <c r="I15" i="9"/>
  <c r="J15" i="9" s="1"/>
  <c r="K15" i="9" s="1"/>
  <c r="H15" i="9"/>
  <c r="K51" i="9"/>
  <c r="D51" i="9"/>
  <c r="I51" i="9"/>
  <c r="A51" i="9"/>
  <c r="G51" i="9"/>
  <c r="L51" i="9"/>
  <c r="J51" i="9"/>
  <c r="E51" i="9"/>
  <c r="H14" i="9"/>
  <c r="I14" i="9"/>
  <c r="J14" i="9" s="1"/>
  <c r="K14" i="9" s="1"/>
  <c r="G5" i="9"/>
  <c r="H13" i="9"/>
  <c r="I13" i="9"/>
  <c r="G50" i="9"/>
  <c r="G56" i="9"/>
  <c r="F17" i="1" s="1"/>
  <c r="D50" i="9"/>
  <c r="L50" i="9"/>
  <c r="I56" i="9"/>
  <c r="G17" i="1" s="1"/>
  <c r="E56" i="9"/>
  <c r="E17" i="1" s="1"/>
  <c r="I50" i="9"/>
  <c r="E50" i="9"/>
  <c r="A50" i="9"/>
  <c r="D56" i="9"/>
  <c r="D17" i="1" s="1"/>
  <c r="L5" i="9"/>
  <c r="H40" i="8"/>
  <c r="I40" i="8"/>
  <c r="J40" i="8" s="1"/>
  <c r="K40" i="8" s="1"/>
  <c r="I38" i="8"/>
  <c r="J38" i="8" s="1"/>
  <c r="K38" i="8" s="1"/>
  <c r="H38" i="8"/>
  <c r="I37" i="8"/>
  <c r="J37" i="8" s="1"/>
  <c r="K37" i="8" s="1"/>
  <c r="H37" i="8"/>
  <c r="I36" i="8"/>
  <c r="J36" i="8" s="1"/>
  <c r="K36" i="8" s="1"/>
  <c r="H36" i="8"/>
  <c r="A47" i="8"/>
  <c r="D47" i="8"/>
  <c r="E47" i="8"/>
  <c r="G47" i="8"/>
  <c r="I47" i="8"/>
  <c r="J47" i="8"/>
  <c r="K47" i="8"/>
  <c r="L47" i="8"/>
  <c r="I35" i="8"/>
  <c r="J35" i="8" s="1"/>
  <c r="K35" i="8" s="1"/>
  <c r="H35" i="8"/>
  <c r="I34" i="8"/>
  <c r="J34" i="8" s="1"/>
  <c r="K34" i="8" s="1"/>
  <c r="H34" i="8"/>
  <c r="H33" i="8"/>
  <c r="I33" i="8"/>
  <c r="J33" i="8" s="1"/>
  <c r="K33" i="8" s="1"/>
  <c r="I31" i="8"/>
  <c r="J31" i="8" s="1"/>
  <c r="K31" i="8" s="1"/>
  <c r="H31" i="8"/>
  <c r="I30" i="8"/>
  <c r="J30" i="8" s="1"/>
  <c r="K30" i="8" s="1"/>
  <c r="H30" i="8"/>
  <c r="H29" i="8"/>
  <c r="I29" i="8"/>
  <c r="A46" i="8"/>
  <c r="D46" i="8"/>
  <c r="E46" i="8"/>
  <c r="G46" i="8"/>
  <c r="L46" i="8"/>
  <c r="H28" i="8"/>
  <c r="I28" i="8"/>
  <c r="J28" i="8" s="1"/>
  <c r="K28" i="8" s="1"/>
  <c r="H27" i="8"/>
  <c r="I27" i="8"/>
  <c r="J27" i="8" s="1"/>
  <c r="K27" i="8" s="1"/>
  <c r="I26" i="8"/>
  <c r="J26" i="8" s="1"/>
  <c r="K26" i="8" s="1"/>
  <c r="H26" i="8"/>
  <c r="H24" i="8"/>
  <c r="I24" i="8"/>
  <c r="J24" i="8" s="1"/>
  <c r="K24" i="8" s="1"/>
  <c r="I23" i="8"/>
  <c r="J23" i="8" s="1"/>
  <c r="K23" i="8" s="1"/>
  <c r="H23" i="8"/>
  <c r="I22" i="8"/>
  <c r="J22" i="8" s="1"/>
  <c r="H22" i="8"/>
  <c r="A45" i="8"/>
  <c r="D45" i="8"/>
  <c r="E45" i="8"/>
  <c r="G45" i="8"/>
  <c r="I45" i="8"/>
  <c r="L45" i="8"/>
  <c r="H21" i="8"/>
  <c r="I21" i="8"/>
  <c r="J21" i="8" s="1"/>
  <c r="K21" i="8" s="1"/>
  <c r="I20" i="8"/>
  <c r="J20" i="8" s="1"/>
  <c r="K20" i="8" s="1"/>
  <c r="H20" i="8"/>
  <c r="I19" i="8"/>
  <c r="J19" i="8" s="1"/>
  <c r="K19" i="8" s="1"/>
  <c r="H19" i="8"/>
  <c r="I17" i="8"/>
  <c r="J17" i="8" s="1"/>
  <c r="K17" i="8" s="1"/>
  <c r="H17" i="8"/>
  <c r="I16" i="8"/>
  <c r="J16" i="8" s="1"/>
  <c r="K16" i="8" s="1"/>
  <c r="H16" i="8"/>
  <c r="H15" i="8"/>
  <c r="I15" i="8"/>
  <c r="J15" i="8" s="1"/>
  <c r="A44" i="8"/>
  <c r="D44" i="8"/>
  <c r="E44" i="8"/>
  <c r="G44" i="8"/>
  <c r="I44" i="8"/>
  <c r="L44" i="8"/>
  <c r="H14" i="8"/>
  <c r="I14" i="8"/>
  <c r="J14" i="8" s="1"/>
  <c r="K14" i="8" s="1"/>
  <c r="H13" i="8"/>
  <c r="I13" i="8"/>
  <c r="J13" i="8" s="1"/>
  <c r="K13" i="8" s="1"/>
  <c r="H12" i="8"/>
  <c r="I12" i="8"/>
  <c r="J12" i="8" s="1"/>
  <c r="K12" i="8" s="1"/>
  <c r="G5" i="8"/>
  <c r="H10" i="8"/>
  <c r="I10" i="8"/>
  <c r="A43" i="8"/>
  <c r="D43" i="8"/>
  <c r="G43" i="8"/>
  <c r="L43" i="8"/>
  <c r="E43" i="8"/>
  <c r="D48" i="8"/>
  <c r="D16" i="1" s="1"/>
  <c r="E48" i="8"/>
  <c r="E16" i="1" s="1"/>
  <c r="G48" i="8"/>
  <c r="F16" i="1" s="1"/>
  <c r="I37" i="7"/>
  <c r="J37" i="7" s="1"/>
  <c r="K37" i="7" s="1"/>
  <c r="H37" i="7"/>
  <c r="H36" i="7"/>
  <c r="I36" i="7"/>
  <c r="A47" i="7"/>
  <c r="D47" i="7"/>
  <c r="E47" i="7"/>
  <c r="G47" i="7"/>
  <c r="L47" i="7"/>
  <c r="H35" i="7"/>
  <c r="I35" i="7"/>
  <c r="J35" i="7" s="1"/>
  <c r="K35" i="7" s="1"/>
  <c r="H34" i="7"/>
  <c r="I34" i="7"/>
  <c r="J34" i="7" s="1"/>
  <c r="K34" i="7" s="1"/>
  <c r="H33" i="7"/>
  <c r="I33" i="7"/>
  <c r="J33" i="7" s="1"/>
  <c r="K33" i="7" s="1"/>
  <c r="I31" i="7"/>
  <c r="J31" i="7" s="1"/>
  <c r="K31" i="7" s="1"/>
  <c r="H31" i="7"/>
  <c r="H30" i="7"/>
  <c r="I30" i="7"/>
  <c r="J30" i="7" s="1"/>
  <c r="K30" i="7" s="1"/>
  <c r="I29" i="7"/>
  <c r="J29" i="7" s="1"/>
  <c r="H29" i="7"/>
  <c r="A46" i="7"/>
  <c r="D46" i="7"/>
  <c r="E46" i="7"/>
  <c r="G46" i="7"/>
  <c r="I46" i="7"/>
  <c r="L46" i="7"/>
  <c r="H28" i="7"/>
  <c r="I28" i="7"/>
  <c r="J28" i="7" s="1"/>
  <c r="K28" i="7" s="1"/>
  <c r="H27" i="7"/>
  <c r="I27" i="7"/>
  <c r="J27" i="7" s="1"/>
  <c r="K27" i="7" s="1"/>
  <c r="I26" i="7"/>
  <c r="J26" i="7" s="1"/>
  <c r="K26" i="7" s="1"/>
  <c r="H26" i="7"/>
  <c r="I24" i="7"/>
  <c r="J24" i="7" s="1"/>
  <c r="K24" i="7" s="1"/>
  <c r="H24" i="7"/>
  <c r="H23" i="7"/>
  <c r="I23" i="7"/>
  <c r="J23" i="7" s="1"/>
  <c r="K23" i="7" s="1"/>
  <c r="H22" i="7"/>
  <c r="I22" i="7"/>
  <c r="A45" i="7"/>
  <c r="D45" i="7"/>
  <c r="E45" i="7"/>
  <c r="G45" i="7"/>
  <c r="L45" i="7"/>
  <c r="H21" i="7"/>
  <c r="I21" i="7"/>
  <c r="J21" i="7" s="1"/>
  <c r="K21" i="7" s="1"/>
  <c r="H20" i="7"/>
  <c r="I20" i="7"/>
  <c r="J20" i="7" s="1"/>
  <c r="K20" i="7" s="1"/>
  <c r="H19" i="7"/>
  <c r="I19" i="7"/>
  <c r="J19" i="7" s="1"/>
  <c r="K19" i="7" s="1"/>
  <c r="I17" i="7"/>
  <c r="H17" i="7"/>
  <c r="H16" i="7"/>
  <c r="I16" i="7"/>
  <c r="J16" i="7" s="1"/>
  <c r="K16" i="7" s="1"/>
  <c r="I15" i="7"/>
  <c r="J15" i="7" s="1"/>
  <c r="K15" i="7" s="1"/>
  <c r="H15" i="7"/>
  <c r="A44" i="7"/>
  <c r="D44" i="7"/>
  <c r="E44" i="7"/>
  <c r="G44" i="7"/>
  <c r="L44" i="7"/>
  <c r="H14" i="7"/>
  <c r="I14" i="7"/>
  <c r="J14" i="7" s="1"/>
  <c r="K14" i="7" s="1"/>
  <c r="I13" i="7"/>
  <c r="J13" i="7" s="1"/>
  <c r="K13" i="7" s="1"/>
  <c r="H13" i="7"/>
  <c r="H12" i="7"/>
  <c r="I12" i="7"/>
  <c r="J12" i="7" s="1"/>
  <c r="K12" i="7" s="1"/>
  <c r="I10" i="7"/>
  <c r="J10" i="7" s="1"/>
  <c r="K10" i="7" s="1"/>
  <c r="H10" i="7"/>
  <c r="I9" i="7"/>
  <c r="J9" i="7" s="1"/>
  <c r="K9" i="7" s="1"/>
  <c r="H9" i="7"/>
  <c r="G5" i="7"/>
  <c r="H8" i="7"/>
  <c r="E6" i="7"/>
  <c r="I8" i="7"/>
  <c r="J8" i="7" s="1"/>
  <c r="A43" i="7"/>
  <c r="D43" i="7"/>
  <c r="E43" i="7"/>
  <c r="G43" i="7"/>
  <c r="I43" i="7"/>
  <c r="L43" i="7"/>
  <c r="D48" i="7"/>
  <c r="D15" i="1" s="1"/>
  <c r="E48" i="7"/>
  <c r="E15" i="1" s="1"/>
  <c r="G48" i="7"/>
  <c r="F15" i="1" s="1"/>
  <c r="L5" i="7"/>
  <c r="H42" i="6"/>
  <c r="I42" i="6"/>
  <c r="J42" i="6" s="1"/>
  <c r="K42" i="6" s="1"/>
  <c r="H41" i="6"/>
  <c r="I41" i="6"/>
  <c r="J41" i="6" s="1"/>
  <c r="K41" i="6" s="1"/>
  <c r="H40" i="6"/>
  <c r="I40" i="6"/>
  <c r="J40" i="6" s="1"/>
  <c r="K40" i="6" s="1"/>
  <c r="I37" i="6"/>
  <c r="J37" i="6" s="1"/>
  <c r="K37" i="6" s="1"/>
  <c r="H37" i="6"/>
  <c r="I36" i="6"/>
  <c r="J36" i="6" s="1"/>
  <c r="K36" i="6" s="1"/>
  <c r="H36" i="6"/>
  <c r="E47" i="6"/>
  <c r="D47" i="6"/>
  <c r="I47" i="6"/>
  <c r="G47" i="6"/>
  <c r="A47" i="6"/>
  <c r="L47" i="6"/>
  <c r="H35" i="6"/>
  <c r="I35" i="6"/>
  <c r="J35" i="6" s="1"/>
  <c r="K35" i="6" s="1"/>
  <c r="H34" i="6"/>
  <c r="I34" i="6"/>
  <c r="J34" i="6" s="1"/>
  <c r="K34" i="6" s="1"/>
  <c r="H33" i="6"/>
  <c r="I33" i="6"/>
  <c r="J33" i="6" s="1"/>
  <c r="K33" i="6" s="1"/>
  <c r="H31" i="6"/>
  <c r="I31" i="6"/>
  <c r="J31" i="6" s="1"/>
  <c r="K31" i="6" s="1"/>
  <c r="H30" i="6"/>
  <c r="I30" i="6"/>
  <c r="J30" i="6" s="1"/>
  <c r="K30" i="6" s="1"/>
  <c r="I29" i="6"/>
  <c r="J29" i="6" s="1"/>
  <c r="K29" i="6" s="1"/>
  <c r="H29" i="6"/>
  <c r="D46" i="6"/>
  <c r="A46" i="6"/>
  <c r="E46" i="6"/>
  <c r="J46" i="6"/>
  <c r="I46" i="6"/>
  <c r="L46" i="6"/>
  <c r="K46" i="6"/>
  <c r="G46" i="6"/>
  <c r="I28" i="6"/>
  <c r="J28" i="6" s="1"/>
  <c r="K28" i="6" s="1"/>
  <c r="H28" i="6"/>
  <c r="I27" i="6"/>
  <c r="J27" i="6" s="1"/>
  <c r="K27" i="6" s="1"/>
  <c r="H27" i="6"/>
  <c r="H26" i="6"/>
  <c r="I26" i="6"/>
  <c r="J26" i="6" s="1"/>
  <c r="K26" i="6" s="1"/>
  <c r="H24" i="6"/>
  <c r="I24" i="6"/>
  <c r="J24" i="6" s="1"/>
  <c r="K24" i="6" s="1"/>
  <c r="H23" i="6"/>
  <c r="I23" i="6"/>
  <c r="J23" i="6" s="1"/>
  <c r="K23" i="6" s="1"/>
  <c r="I22" i="6"/>
  <c r="J22" i="6" s="1"/>
  <c r="K22" i="6" s="1"/>
  <c r="H22" i="6"/>
  <c r="J45" i="6"/>
  <c r="I45" i="6"/>
  <c r="G45" i="6"/>
  <c r="A45" i="6"/>
  <c r="E45" i="6"/>
  <c r="L45" i="6"/>
  <c r="D45" i="6"/>
  <c r="K45" i="6"/>
  <c r="I21" i="6"/>
  <c r="J21" i="6" s="1"/>
  <c r="K21" i="6" s="1"/>
  <c r="H21" i="6"/>
  <c r="I20" i="6"/>
  <c r="J20" i="6" s="1"/>
  <c r="K20" i="6" s="1"/>
  <c r="H20" i="6"/>
  <c r="I19" i="6"/>
  <c r="J19" i="6" s="1"/>
  <c r="K19" i="6" s="1"/>
  <c r="H19" i="6"/>
  <c r="I17" i="6"/>
  <c r="J17" i="6" s="1"/>
  <c r="K17" i="6" s="1"/>
  <c r="H17" i="6"/>
  <c r="I16" i="6"/>
  <c r="J16" i="6" s="1"/>
  <c r="K16" i="6" s="1"/>
  <c r="H16" i="6"/>
  <c r="H15" i="6"/>
  <c r="I15" i="6"/>
  <c r="J15" i="6" s="1"/>
  <c r="K15" i="6" s="1"/>
  <c r="E44" i="6"/>
  <c r="J44" i="6"/>
  <c r="A44" i="6"/>
  <c r="D44" i="6"/>
  <c r="I44" i="6"/>
  <c r="G44" i="6"/>
  <c r="L44" i="6"/>
  <c r="K44" i="6"/>
  <c r="H14" i="6"/>
  <c r="I14" i="6"/>
  <c r="J14" i="6" s="1"/>
  <c r="K14" i="6" s="1"/>
  <c r="H13" i="6"/>
  <c r="I13" i="6"/>
  <c r="J13" i="6" s="1"/>
  <c r="K13" i="6" s="1"/>
  <c r="I12" i="6"/>
  <c r="H12" i="6"/>
  <c r="E5" i="6"/>
  <c r="E6" i="6"/>
  <c r="L43" i="6"/>
  <c r="I43" i="6"/>
  <c r="I48" i="6"/>
  <c r="G14" i="1" s="1"/>
  <c r="D48" i="6"/>
  <c r="D14" i="1" s="1"/>
  <c r="A43" i="6"/>
  <c r="E43" i="6"/>
  <c r="E48" i="6"/>
  <c r="E14" i="1" s="1"/>
  <c r="G48" i="6"/>
  <c r="F14" i="1" s="1"/>
  <c r="D43" i="6"/>
  <c r="G43" i="6"/>
  <c r="H38" i="5"/>
  <c r="I38" i="5"/>
  <c r="J38" i="5" s="1"/>
  <c r="K38" i="5" s="1"/>
  <c r="I37" i="5"/>
  <c r="J37" i="5" s="1"/>
  <c r="K37" i="5" s="1"/>
  <c r="H37" i="5"/>
  <c r="I36" i="5"/>
  <c r="J36" i="5" s="1"/>
  <c r="K36" i="5" s="1"/>
  <c r="H36" i="5"/>
  <c r="A47" i="5"/>
  <c r="D47" i="5"/>
  <c r="E47" i="5"/>
  <c r="G47" i="5"/>
  <c r="I47" i="5"/>
  <c r="J47" i="5"/>
  <c r="K47" i="5"/>
  <c r="L47" i="5"/>
  <c r="I35" i="5"/>
  <c r="J35" i="5" s="1"/>
  <c r="K35" i="5" s="1"/>
  <c r="H35" i="5"/>
  <c r="I34" i="5"/>
  <c r="J34" i="5" s="1"/>
  <c r="K34" i="5" s="1"/>
  <c r="H34" i="5"/>
  <c r="I33" i="5"/>
  <c r="J33" i="5" s="1"/>
  <c r="K33" i="5" s="1"/>
  <c r="H33" i="5"/>
  <c r="I31" i="5"/>
  <c r="J31" i="5" s="1"/>
  <c r="K31" i="5" s="1"/>
  <c r="H31" i="5"/>
  <c r="H30" i="5"/>
  <c r="I30" i="5"/>
  <c r="J30" i="5" s="1"/>
  <c r="K30" i="5" s="1"/>
  <c r="H29" i="5"/>
  <c r="I29" i="5"/>
  <c r="J29" i="5" s="1"/>
  <c r="K29" i="5" s="1"/>
  <c r="A46" i="5"/>
  <c r="D46" i="5"/>
  <c r="E46" i="5"/>
  <c r="G46" i="5"/>
  <c r="I46" i="5"/>
  <c r="J46" i="5"/>
  <c r="K46" i="5"/>
  <c r="L46" i="5"/>
  <c r="H28" i="5"/>
  <c r="I28" i="5"/>
  <c r="J28" i="5" s="1"/>
  <c r="K28" i="5" s="1"/>
  <c r="I27" i="5"/>
  <c r="J27" i="5" s="1"/>
  <c r="K27" i="5" s="1"/>
  <c r="H27" i="5"/>
  <c r="H26" i="5"/>
  <c r="I26" i="5"/>
  <c r="J26" i="5" s="1"/>
  <c r="K26" i="5" s="1"/>
  <c r="I24" i="5"/>
  <c r="J24" i="5" s="1"/>
  <c r="K24" i="5" s="1"/>
  <c r="H24" i="5"/>
  <c r="I23" i="5"/>
  <c r="J23" i="5" s="1"/>
  <c r="K23" i="5" s="1"/>
  <c r="H23" i="5"/>
  <c r="I22" i="5"/>
  <c r="J22" i="5" s="1"/>
  <c r="K22" i="5" s="1"/>
  <c r="H22" i="5"/>
  <c r="A45" i="5"/>
  <c r="D45" i="5"/>
  <c r="E45" i="5"/>
  <c r="G45" i="5"/>
  <c r="I45" i="5"/>
  <c r="J45" i="5"/>
  <c r="K45" i="5"/>
  <c r="L45" i="5"/>
  <c r="H21" i="5"/>
  <c r="I21" i="5"/>
  <c r="J21" i="5" s="1"/>
  <c r="K21" i="5" s="1"/>
  <c r="H20" i="5"/>
  <c r="I20" i="5"/>
  <c r="J20" i="5" s="1"/>
  <c r="K20" i="5" s="1"/>
  <c r="H19" i="5"/>
  <c r="I19" i="5"/>
  <c r="J19" i="5" s="1"/>
  <c r="K19" i="5" s="1"/>
  <c r="H17" i="5"/>
  <c r="I17" i="5"/>
  <c r="J17" i="5" s="1"/>
  <c r="K17" i="5" s="1"/>
  <c r="H16" i="5"/>
  <c r="I16" i="5"/>
  <c r="J16" i="5" s="1"/>
  <c r="K16" i="5" s="1"/>
  <c r="H15" i="5"/>
  <c r="I15" i="5"/>
  <c r="A44" i="5"/>
  <c r="D44" i="5"/>
  <c r="E44" i="5"/>
  <c r="G44" i="5"/>
  <c r="L44" i="5"/>
  <c r="I14" i="5"/>
  <c r="J14" i="5" s="1"/>
  <c r="K14" i="5" s="1"/>
  <c r="H14" i="5"/>
  <c r="H13" i="5"/>
  <c r="I13" i="5"/>
  <c r="J13" i="5" s="1"/>
  <c r="K13" i="5" s="1"/>
  <c r="H12" i="5"/>
  <c r="I12" i="5"/>
  <c r="J12" i="5" s="1"/>
  <c r="K12" i="5" s="1"/>
  <c r="G5" i="5"/>
  <c r="I10" i="5"/>
  <c r="H10" i="5"/>
  <c r="G48" i="5"/>
  <c r="F13" i="1" s="1"/>
  <c r="E48" i="5"/>
  <c r="E13" i="1" s="1"/>
  <c r="L5" i="5"/>
  <c r="A43" i="5"/>
  <c r="D43" i="5"/>
  <c r="L43" i="5"/>
  <c r="E43" i="5"/>
  <c r="G43" i="5"/>
  <c r="I43" i="5"/>
  <c r="D48" i="5"/>
  <c r="D13" i="1" s="1"/>
  <c r="I44" i="4"/>
  <c r="J44" i="4" s="1"/>
  <c r="K44" i="4" s="1"/>
  <c r="H44" i="4"/>
  <c r="H43" i="4"/>
  <c r="I43" i="4"/>
  <c r="A55" i="4"/>
  <c r="D55" i="4"/>
  <c r="E55" i="4"/>
  <c r="G55" i="4"/>
  <c r="L55" i="4"/>
  <c r="I42" i="4"/>
  <c r="J42" i="4" s="1"/>
  <c r="K42" i="4" s="1"/>
  <c r="H42" i="4"/>
  <c r="I41" i="4"/>
  <c r="J41" i="4" s="1"/>
  <c r="K41" i="4" s="1"/>
  <c r="H41" i="4"/>
  <c r="H40" i="4"/>
  <c r="I40" i="4"/>
  <c r="J40" i="4" s="1"/>
  <c r="K40" i="4" s="1"/>
  <c r="I38" i="4"/>
  <c r="J38" i="4" s="1"/>
  <c r="K38" i="4" s="1"/>
  <c r="H38" i="4"/>
  <c r="I37" i="4"/>
  <c r="J37" i="4" s="1"/>
  <c r="K37" i="4" s="1"/>
  <c r="H37" i="4"/>
  <c r="H36" i="4"/>
  <c r="I36" i="4"/>
  <c r="A54" i="4"/>
  <c r="D54" i="4"/>
  <c r="E54" i="4"/>
  <c r="G54" i="4"/>
  <c r="L54" i="4"/>
  <c r="H35" i="4"/>
  <c r="I35" i="4"/>
  <c r="J35" i="4" s="1"/>
  <c r="K35" i="4" s="1"/>
  <c r="H34" i="4"/>
  <c r="I34" i="4"/>
  <c r="J34" i="4" s="1"/>
  <c r="K34" i="4" s="1"/>
  <c r="I33" i="4"/>
  <c r="J33" i="4" s="1"/>
  <c r="K33" i="4" s="1"/>
  <c r="H33" i="4"/>
  <c r="H31" i="4"/>
  <c r="I31" i="4"/>
  <c r="J31" i="4" s="1"/>
  <c r="K31" i="4" s="1"/>
  <c r="H30" i="4"/>
  <c r="I30" i="4"/>
  <c r="J30" i="4" s="1"/>
  <c r="K30" i="4" s="1"/>
  <c r="H29" i="4"/>
  <c r="I29" i="4"/>
  <c r="A53" i="4"/>
  <c r="D53" i="4"/>
  <c r="E53" i="4"/>
  <c r="G53" i="4"/>
  <c r="L53" i="4"/>
  <c r="H28" i="4"/>
  <c r="I28" i="4"/>
  <c r="J28" i="4" s="1"/>
  <c r="K28" i="4" s="1"/>
  <c r="H27" i="4"/>
  <c r="I27" i="4"/>
  <c r="J27" i="4" s="1"/>
  <c r="K27" i="4" s="1"/>
  <c r="I26" i="4"/>
  <c r="J26" i="4" s="1"/>
  <c r="K26" i="4" s="1"/>
  <c r="H26" i="4"/>
  <c r="I24" i="4"/>
  <c r="J24" i="4" s="1"/>
  <c r="K24" i="4" s="1"/>
  <c r="H24" i="4"/>
  <c r="I23" i="4"/>
  <c r="J23" i="4" s="1"/>
  <c r="K23" i="4" s="1"/>
  <c r="H23" i="4"/>
  <c r="H22" i="4"/>
  <c r="I22" i="4"/>
  <c r="A52" i="4"/>
  <c r="D52" i="4"/>
  <c r="E52" i="4"/>
  <c r="G52" i="4"/>
  <c r="L52" i="4"/>
  <c r="I21" i="4"/>
  <c r="J21" i="4" s="1"/>
  <c r="K21" i="4" s="1"/>
  <c r="H21" i="4"/>
  <c r="H20" i="4"/>
  <c r="I20" i="4"/>
  <c r="I19" i="4"/>
  <c r="J19" i="4" s="1"/>
  <c r="K19" i="4" s="1"/>
  <c r="H19" i="4"/>
  <c r="I17" i="4"/>
  <c r="J17" i="4" s="1"/>
  <c r="K17" i="4" s="1"/>
  <c r="H17" i="4"/>
  <c r="I16" i="4"/>
  <c r="J16" i="4" s="1"/>
  <c r="K16" i="4" s="1"/>
  <c r="H16" i="4"/>
  <c r="I15" i="4"/>
  <c r="J15" i="4" s="1"/>
  <c r="K15" i="4" s="1"/>
  <c r="H15" i="4"/>
  <c r="A51" i="4"/>
  <c r="D51" i="4"/>
  <c r="E51" i="4"/>
  <c r="G51" i="4"/>
  <c r="L51" i="4"/>
  <c r="G5" i="4"/>
  <c r="H14" i="4"/>
  <c r="I14" i="4"/>
  <c r="E56" i="4"/>
  <c r="E12" i="1" s="1"/>
  <c r="D56" i="4"/>
  <c r="D12" i="1" s="1"/>
  <c r="L50" i="4"/>
  <c r="G50" i="4"/>
  <c r="E50" i="4"/>
  <c r="A50" i="4"/>
  <c r="D50" i="4"/>
  <c r="G56" i="4"/>
  <c r="F12" i="1" s="1"/>
  <c r="I41" i="3"/>
  <c r="J41" i="3" s="1"/>
  <c r="K41" i="3" s="1"/>
  <c r="H41" i="3"/>
  <c r="H40" i="3"/>
  <c r="I40" i="3"/>
  <c r="J40" i="3" s="1"/>
  <c r="K40" i="3" s="1"/>
  <c r="I38" i="3"/>
  <c r="J38" i="3" s="1"/>
  <c r="K38" i="3" s="1"/>
  <c r="H38" i="3"/>
  <c r="H37" i="3"/>
  <c r="I37" i="3"/>
  <c r="J37" i="3" s="1"/>
  <c r="K37" i="3" s="1"/>
  <c r="H36" i="3"/>
  <c r="I36" i="3"/>
  <c r="J36" i="3" s="1"/>
  <c r="K36" i="3" s="1"/>
  <c r="A47" i="3"/>
  <c r="D47" i="3"/>
  <c r="E47" i="3"/>
  <c r="G47" i="3"/>
  <c r="I47" i="3"/>
  <c r="J47" i="3"/>
  <c r="K47" i="3"/>
  <c r="L47" i="3"/>
  <c r="I35" i="3"/>
  <c r="J35" i="3" s="1"/>
  <c r="K35" i="3" s="1"/>
  <c r="H35" i="3"/>
  <c r="I34" i="3"/>
  <c r="J34" i="3" s="1"/>
  <c r="K34" i="3" s="1"/>
  <c r="H34" i="3"/>
  <c r="H33" i="3"/>
  <c r="I33" i="3"/>
  <c r="J33" i="3" s="1"/>
  <c r="K33" i="3" s="1"/>
  <c r="H31" i="3"/>
  <c r="I31" i="3"/>
  <c r="J31" i="3" s="1"/>
  <c r="K31" i="3" s="1"/>
  <c r="H30" i="3"/>
  <c r="I30" i="3"/>
  <c r="J30" i="3" s="1"/>
  <c r="K30" i="3" s="1"/>
  <c r="I29" i="3"/>
  <c r="J29" i="3" s="1"/>
  <c r="K29" i="3" s="1"/>
  <c r="H29" i="3"/>
  <c r="A46" i="3"/>
  <c r="D46" i="3"/>
  <c r="E46" i="3"/>
  <c r="G46" i="3"/>
  <c r="I46" i="3"/>
  <c r="J46" i="3"/>
  <c r="K46" i="3"/>
  <c r="L46" i="3"/>
  <c r="H28" i="3"/>
  <c r="I28" i="3"/>
  <c r="J28" i="3" s="1"/>
  <c r="K28" i="3" s="1"/>
  <c r="I27" i="3"/>
  <c r="J27" i="3" s="1"/>
  <c r="K27" i="3" s="1"/>
  <c r="H27" i="3"/>
  <c r="I26" i="3"/>
  <c r="J26" i="3" s="1"/>
  <c r="K26" i="3" s="1"/>
  <c r="H26" i="3"/>
  <c r="I24" i="3"/>
  <c r="J24" i="3" s="1"/>
  <c r="K24" i="3" s="1"/>
  <c r="H24" i="3"/>
  <c r="H23" i="3"/>
  <c r="I23" i="3"/>
  <c r="J23" i="3" s="1"/>
  <c r="K23" i="3" s="1"/>
  <c r="I22" i="3"/>
  <c r="J22" i="3" s="1"/>
  <c r="K22" i="3" s="1"/>
  <c r="H22" i="3"/>
  <c r="A45" i="3"/>
  <c r="D45" i="3"/>
  <c r="E45" i="3"/>
  <c r="G45" i="3"/>
  <c r="I45" i="3"/>
  <c r="J45" i="3"/>
  <c r="K45" i="3"/>
  <c r="L45" i="3"/>
  <c r="H21" i="3"/>
  <c r="I21" i="3"/>
  <c r="J21" i="3" s="1"/>
  <c r="K21" i="3" s="1"/>
  <c r="H20" i="3"/>
  <c r="I20" i="3"/>
  <c r="J20" i="3" s="1"/>
  <c r="K20" i="3" s="1"/>
  <c r="H19" i="3"/>
  <c r="I19" i="3"/>
  <c r="J19" i="3" s="1"/>
  <c r="K19" i="3" s="1"/>
  <c r="I17" i="3"/>
  <c r="J17" i="3" s="1"/>
  <c r="K17" i="3" s="1"/>
  <c r="H17" i="3"/>
  <c r="H16" i="3"/>
  <c r="I16" i="3"/>
  <c r="J16" i="3" s="1"/>
  <c r="K16" i="3" s="1"/>
  <c r="I15" i="3"/>
  <c r="J15" i="3" s="1"/>
  <c r="K15" i="3" s="1"/>
  <c r="H15" i="3"/>
  <c r="A44" i="3"/>
  <c r="D44" i="3"/>
  <c r="E44" i="3"/>
  <c r="G44" i="3"/>
  <c r="I44" i="3"/>
  <c r="J44" i="3"/>
  <c r="K44" i="3"/>
  <c r="L44" i="3"/>
  <c r="H14" i="3"/>
  <c r="I14" i="3"/>
  <c r="E5" i="3"/>
  <c r="E6" i="3"/>
  <c r="D43" i="3"/>
  <c r="E43" i="3"/>
  <c r="G48" i="3"/>
  <c r="F11" i="1" s="1"/>
  <c r="G43" i="3"/>
  <c r="I43" i="3"/>
  <c r="L43" i="3"/>
  <c r="D48" i="3"/>
  <c r="D11" i="1" s="1"/>
  <c r="E48" i="3"/>
  <c r="E11" i="1" s="1"/>
  <c r="I48" i="3"/>
  <c r="G11" i="1" s="1"/>
  <c r="A43" i="3"/>
  <c r="I41" i="2"/>
  <c r="J41" i="2" s="1"/>
  <c r="K41" i="2" s="1"/>
  <c r="H41" i="2"/>
  <c r="H40" i="2"/>
  <c r="I40" i="2"/>
  <c r="J40" i="2" s="1"/>
  <c r="K40" i="2" s="1"/>
  <c r="I38" i="2"/>
  <c r="J38" i="2" s="1"/>
  <c r="K38" i="2" s="1"/>
  <c r="H38" i="2"/>
  <c r="E6" i="2"/>
  <c r="H37" i="2"/>
  <c r="E5" i="2"/>
  <c r="I37" i="2"/>
  <c r="J37" i="2" s="1"/>
  <c r="K37" i="2" s="1"/>
  <c r="I36" i="2"/>
  <c r="J36" i="2" s="1"/>
  <c r="K36" i="2" s="1"/>
  <c r="H36" i="2"/>
  <c r="I47" i="2"/>
  <c r="E47" i="2"/>
  <c r="G47" i="2"/>
  <c r="K47" i="2"/>
  <c r="L47" i="2"/>
  <c r="A47" i="2"/>
  <c r="J47" i="2"/>
  <c r="D47" i="2"/>
  <c r="H35" i="2"/>
  <c r="I35" i="2"/>
  <c r="J35" i="2" s="1"/>
  <c r="K35" i="2" s="1"/>
  <c r="I34" i="2"/>
  <c r="J34" i="2" s="1"/>
  <c r="K34" i="2" s="1"/>
  <c r="H34" i="2"/>
  <c r="H33" i="2"/>
  <c r="I33" i="2"/>
  <c r="J33" i="2" s="1"/>
  <c r="K33" i="2" s="1"/>
  <c r="I31" i="2"/>
  <c r="J31" i="2" s="1"/>
  <c r="K31" i="2" s="1"/>
  <c r="H31" i="2"/>
  <c r="H30" i="2"/>
  <c r="I30" i="2"/>
  <c r="J30" i="2" s="1"/>
  <c r="K30" i="2" s="1"/>
  <c r="H29" i="2"/>
  <c r="I29" i="2"/>
  <c r="J29" i="2" s="1"/>
  <c r="K29" i="2" s="1"/>
  <c r="A46" i="2"/>
  <c r="G46" i="2"/>
  <c r="D46" i="2"/>
  <c r="E46" i="2"/>
  <c r="I46" i="2"/>
  <c r="L46" i="2"/>
  <c r="J46" i="2"/>
  <c r="K46" i="2"/>
  <c r="H28" i="2"/>
  <c r="I28" i="2"/>
  <c r="J28" i="2" s="1"/>
  <c r="K28" i="2" s="1"/>
  <c r="H27" i="2"/>
  <c r="I27" i="2"/>
  <c r="J27" i="2" s="1"/>
  <c r="K27" i="2" s="1"/>
  <c r="H26" i="2"/>
  <c r="I26" i="2"/>
  <c r="J26" i="2" s="1"/>
  <c r="K26" i="2" s="1"/>
  <c r="H24" i="2"/>
  <c r="I24" i="2"/>
  <c r="J24" i="2" s="1"/>
  <c r="K24" i="2" s="1"/>
  <c r="H23" i="2"/>
  <c r="I23" i="2"/>
  <c r="J23" i="2" s="1"/>
  <c r="K23" i="2" s="1"/>
  <c r="I22" i="2"/>
  <c r="J22" i="2" s="1"/>
  <c r="K22" i="2" s="1"/>
  <c r="H22" i="2"/>
  <c r="K45" i="2"/>
  <c r="E45" i="2"/>
  <c r="L45" i="2"/>
  <c r="D45" i="2"/>
  <c r="A45" i="2"/>
  <c r="I45" i="2"/>
  <c r="G45" i="2"/>
  <c r="J45" i="2"/>
  <c r="H21" i="2"/>
  <c r="I21" i="2"/>
  <c r="J21" i="2" s="1"/>
  <c r="K21" i="2" s="1"/>
  <c r="H20" i="2"/>
  <c r="I20" i="2"/>
  <c r="J20" i="2" s="1"/>
  <c r="K20" i="2" s="1"/>
  <c r="H19" i="2"/>
  <c r="I19" i="2"/>
  <c r="J19" i="2" s="1"/>
  <c r="K19" i="2" s="1"/>
  <c r="H17" i="2"/>
  <c r="I17" i="2"/>
  <c r="J17" i="2" s="1"/>
  <c r="K17" i="2" s="1"/>
  <c r="H16" i="2"/>
  <c r="I16" i="2"/>
  <c r="J16" i="2" s="1"/>
  <c r="K16" i="2" s="1"/>
  <c r="I15" i="2"/>
  <c r="J15" i="2" s="1"/>
  <c r="K15" i="2" s="1"/>
  <c r="H15" i="2"/>
  <c r="E44" i="2"/>
  <c r="L44" i="2"/>
  <c r="A44" i="2"/>
  <c r="K44" i="2"/>
  <c r="J44" i="2"/>
  <c r="I44" i="2"/>
  <c r="G44" i="2"/>
  <c r="D44" i="2"/>
  <c r="I14" i="2"/>
  <c r="J14" i="2" s="1"/>
  <c r="K14" i="2" s="1"/>
  <c r="H14" i="2"/>
  <c r="I13" i="2"/>
  <c r="J13" i="2" s="1"/>
  <c r="K13" i="2" s="1"/>
  <c r="H13" i="2"/>
  <c r="G5" i="2"/>
  <c r="I12" i="2"/>
  <c r="H12" i="2"/>
  <c r="D48" i="2"/>
  <c r="D10" i="1" s="1"/>
  <c r="E43" i="2"/>
  <c r="E48" i="2"/>
  <c r="E10" i="1" s="1"/>
  <c r="A43" i="2"/>
  <c r="G43" i="2"/>
  <c r="I43" i="2"/>
  <c r="G48" i="2"/>
  <c r="F10" i="1" s="1"/>
  <c r="D43" i="2"/>
  <c r="L43" i="2"/>
  <c r="I48" i="2"/>
  <c r="G10" i="1" s="1"/>
  <c r="L5" i="2"/>
  <c r="L5" i="22"/>
  <c r="L5" i="20"/>
  <c r="L5" i="18"/>
  <c r="L5" i="14"/>
  <c r="J38" i="6"/>
  <c r="L5" i="3"/>
  <c r="G5" i="3"/>
  <c r="J22" i="1"/>
  <c r="J15" i="11"/>
  <c r="G5" i="11"/>
  <c r="L5" i="8"/>
  <c r="J14" i="4" l="1"/>
  <c r="I50" i="4"/>
  <c r="K9" i="19"/>
  <c r="J5" i="19"/>
  <c r="K13" i="18"/>
  <c r="J5" i="18"/>
  <c r="K8" i="16"/>
  <c r="J5" i="16"/>
  <c r="J5" i="13"/>
  <c r="K9" i="13"/>
  <c r="I5" i="11"/>
  <c r="J13" i="11"/>
  <c r="J5" i="10"/>
  <c r="K9" i="10"/>
  <c r="J5" i="7"/>
  <c r="K8" i="7"/>
  <c r="I5" i="6"/>
  <c r="J12" i="6"/>
  <c r="K14" i="4"/>
  <c r="J14" i="3"/>
  <c r="I5" i="3"/>
  <c r="I5" i="19"/>
  <c r="I5" i="16"/>
  <c r="I5" i="13"/>
  <c r="I5" i="10"/>
  <c r="I5" i="7"/>
  <c r="I5" i="4"/>
  <c r="D22" i="1"/>
  <c r="E22" i="1"/>
  <c r="F22" i="1"/>
  <c r="K36" i="25"/>
  <c r="K47" i="25" s="1"/>
  <c r="J47" i="25"/>
  <c r="K29" i="25"/>
  <c r="K46" i="25" s="1"/>
  <c r="J46" i="25"/>
  <c r="K22" i="25"/>
  <c r="K45" i="25" s="1"/>
  <c r="J45" i="25"/>
  <c r="K15" i="25"/>
  <c r="K44" i="25" s="1"/>
  <c r="J44" i="25"/>
  <c r="I5" i="25"/>
  <c r="J10" i="25"/>
  <c r="I43" i="25"/>
  <c r="K36" i="24"/>
  <c r="K47" i="24" s="1"/>
  <c r="J47" i="24"/>
  <c r="K29" i="24"/>
  <c r="K46" i="24" s="1"/>
  <c r="J46" i="24"/>
  <c r="K22" i="24"/>
  <c r="K45" i="24" s="1"/>
  <c r="J45" i="24"/>
  <c r="J15" i="24"/>
  <c r="I44" i="24"/>
  <c r="I5" i="24"/>
  <c r="I43" i="24"/>
  <c r="J8" i="24"/>
  <c r="K36" i="23"/>
  <c r="K47" i="23" s="1"/>
  <c r="J47" i="23"/>
  <c r="K29" i="23"/>
  <c r="K46" i="23" s="1"/>
  <c r="J46" i="23"/>
  <c r="K22" i="23"/>
  <c r="K45" i="23" s="1"/>
  <c r="J45" i="23"/>
  <c r="K15" i="23"/>
  <c r="K44" i="23" s="1"/>
  <c r="J44" i="23"/>
  <c r="I5" i="23"/>
  <c r="J12" i="23"/>
  <c r="J36" i="22"/>
  <c r="I47" i="22"/>
  <c r="K15" i="22"/>
  <c r="K44" i="22" s="1"/>
  <c r="J44" i="22"/>
  <c r="I5" i="22"/>
  <c r="J10" i="22"/>
  <c r="K43" i="21"/>
  <c r="K55" i="21" s="1"/>
  <c r="J55" i="21"/>
  <c r="K36" i="21"/>
  <c r="K54" i="21" s="1"/>
  <c r="J54" i="21"/>
  <c r="K34" i="21"/>
  <c r="J53" i="21"/>
  <c r="K22" i="21"/>
  <c r="K52" i="21" s="1"/>
  <c r="J52" i="21"/>
  <c r="J15" i="21"/>
  <c r="I51" i="21"/>
  <c r="I5" i="21"/>
  <c r="I56" i="21"/>
  <c r="G33" i="1" s="1"/>
  <c r="J14" i="21"/>
  <c r="K36" i="20"/>
  <c r="K47" i="20" s="1"/>
  <c r="J47" i="20"/>
  <c r="J30" i="20"/>
  <c r="K30" i="20" s="1"/>
  <c r="I46" i="20"/>
  <c r="K29" i="20"/>
  <c r="K46" i="20" s="1"/>
  <c r="J46" i="20"/>
  <c r="K22" i="20"/>
  <c r="K45" i="20" s="1"/>
  <c r="J45" i="20"/>
  <c r="K15" i="20"/>
  <c r="K44" i="20" s="1"/>
  <c r="J44" i="20"/>
  <c r="I5" i="20"/>
  <c r="J12" i="20"/>
  <c r="K36" i="19"/>
  <c r="K47" i="19" s="1"/>
  <c r="J47" i="19"/>
  <c r="J34" i="19"/>
  <c r="I46" i="19"/>
  <c r="I48" i="19"/>
  <c r="G31" i="1" s="1"/>
  <c r="J48" i="19"/>
  <c r="H31" i="1" s="1"/>
  <c r="J43" i="19"/>
  <c r="K29" i="18"/>
  <c r="K53" i="18" s="1"/>
  <c r="J53" i="18"/>
  <c r="J22" i="18"/>
  <c r="I52" i="18"/>
  <c r="J15" i="18"/>
  <c r="I51" i="18"/>
  <c r="K14" i="18"/>
  <c r="J56" i="18"/>
  <c r="H30" i="1" s="1"/>
  <c r="I5" i="18"/>
  <c r="I50" i="18"/>
  <c r="J36" i="17"/>
  <c r="I47" i="17"/>
  <c r="K29" i="17"/>
  <c r="K46" i="17" s="1"/>
  <c r="J46" i="17"/>
  <c r="K22" i="17"/>
  <c r="K45" i="17" s="1"/>
  <c r="J45" i="17"/>
  <c r="K15" i="17"/>
  <c r="K44" i="17" s="1"/>
  <c r="J44" i="17"/>
  <c r="I5" i="17"/>
  <c r="J12" i="17"/>
  <c r="I43" i="17"/>
  <c r="J36" i="16"/>
  <c r="I47" i="16"/>
  <c r="J31" i="16"/>
  <c r="I46" i="16"/>
  <c r="I48" i="16"/>
  <c r="G28" i="1" s="1"/>
  <c r="G38" i="1" s="1"/>
  <c r="J43" i="16"/>
  <c r="J48" i="16"/>
  <c r="H28" i="1" s="1"/>
  <c r="I5" i="15"/>
  <c r="J8" i="15"/>
  <c r="K29" i="14"/>
  <c r="K46" i="14" s="1"/>
  <c r="J46" i="14"/>
  <c r="K22" i="14"/>
  <c r="K45" i="14" s="1"/>
  <c r="J45" i="14"/>
  <c r="K15" i="14"/>
  <c r="K44" i="14" s="1"/>
  <c r="J44" i="14"/>
  <c r="I5" i="14"/>
  <c r="J12" i="14"/>
  <c r="J36" i="13"/>
  <c r="I47" i="13"/>
  <c r="K29" i="13"/>
  <c r="K46" i="13" s="1"/>
  <c r="J46" i="13"/>
  <c r="J28" i="13"/>
  <c r="I48" i="13"/>
  <c r="G21" i="1" s="1"/>
  <c r="I45" i="13"/>
  <c r="J43" i="13"/>
  <c r="J48" i="13"/>
  <c r="H21" i="1" s="1"/>
  <c r="K36" i="12"/>
  <c r="K54" i="12" s="1"/>
  <c r="J54" i="12"/>
  <c r="J29" i="12"/>
  <c r="I53" i="12"/>
  <c r="J22" i="12"/>
  <c r="I52" i="12"/>
  <c r="K15" i="12"/>
  <c r="K51" i="12" s="1"/>
  <c r="J51" i="12"/>
  <c r="I5" i="12"/>
  <c r="J14" i="12"/>
  <c r="I50" i="12"/>
  <c r="I56" i="12"/>
  <c r="G20" i="1" s="1"/>
  <c r="J36" i="11"/>
  <c r="I47" i="11"/>
  <c r="K29" i="11"/>
  <c r="K46" i="11" s="1"/>
  <c r="J46" i="11"/>
  <c r="K22" i="11"/>
  <c r="K45" i="11" s="1"/>
  <c r="J45" i="11"/>
  <c r="J16" i="11"/>
  <c r="K16" i="11" s="1"/>
  <c r="I44" i="11"/>
  <c r="K36" i="10"/>
  <c r="K47" i="10" s="1"/>
  <c r="J47" i="10"/>
  <c r="J29" i="10"/>
  <c r="I46" i="10"/>
  <c r="J22" i="10"/>
  <c r="I48" i="10"/>
  <c r="G18" i="1" s="1"/>
  <c r="I45" i="10"/>
  <c r="J48" i="10"/>
  <c r="H18" i="1" s="1"/>
  <c r="J43" i="10"/>
  <c r="I5" i="9"/>
  <c r="J13" i="9"/>
  <c r="J29" i="8"/>
  <c r="I46" i="8"/>
  <c r="K22" i="8"/>
  <c r="K45" i="8" s="1"/>
  <c r="J45" i="8"/>
  <c r="K15" i="8"/>
  <c r="K44" i="8" s="1"/>
  <c r="J44" i="8"/>
  <c r="I5" i="8"/>
  <c r="I43" i="8"/>
  <c r="I48" i="8"/>
  <c r="G16" i="1" s="1"/>
  <c r="J10" i="8"/>
  <c r="J36" i="7"/>
  <c r="I47" i="7"/>
  <c r="K29" i="7"/>
  <c r="K46" i="7" s="1"/>
  <c r="J46" i="7"/>
  <c r="J22" i="7"/>
  <c r="I45" i="7"/>
  <c r="J17" i="7"/>
  <c r="I44" i="7"/>
  <c r="I48" i="7"/>
  <c r="G15" i="1" s="1"/>
  <c r="J48" i="7"/>
  <c r="H15" i="1" s="1"/>
  <c r="J43" i="7"/>
  <c r="J15" i="5"/>
  <c r="I44" i="5"/>
  <c r="I5" i="5"/>
  <c r="I48" i="5"/>
  <c r="G13" i="1" s="1"/>
  <c r="J10" i="5"/>
  <c r="J43" i="4"/>
  <c r="I55" i="4"/>
  <c r="J36" i="4"/>
  <c r="I54" i="4"/>
  <c r="J29" i="4"/>
  <c r="I53" i="4"/>
  <c r="J22" i="4"/>
  <c r="I52" i="4"/>
  <c r="J20" i="4"/>
  <c r="I56" i="4"/>
  <c r="G12" i="1" s="1"/>
  <c r="G22" i="1" s="1"/>
  <c r="I51" i="4"/>
  <c r="J50" i="4"/>
  <c r="I5" i="2"/>
  <c r="J12" i="2"/>
  <c r="K38" i="6"/>
  <c r="K47" i="6" s="1"/>
  <c r="J47" i="6"/>
  <c r="K15" i="11"/>
  <c r="K44" i="11" s="1"/>
  <c r="J44" i="11"/>
  <c r="J5" i="4" l="1"/>
  <c r="J56" i="4"/>
  <c r="H12" i="1" s="1"/>
  <c r="K43" i="19"/>
  <c r="K48" i="19"/>
  <c r="I31" i="1" s="1"/>
  <c r="K5" i="19"/>
  <c r="H6" i="19"/>
  <c r="I6" i="19"/>
  <c r="J6" i="19" s="1"/>
  <c r="K56" i="18"/>
  <c r="I30" i="1" s="1"/>
  <c r="K50" i="18"/>
  <c r="K5" i="18"/>
  <c r="H6" i="18"/>
  <c r="I6" i="18"/>
  <c r="J6" i="18" s="1"/>
  <c r="K48" i="16"/>
  <c r="I28" i="1" s="1"/>
  <c r="K43" i="16"/>
  <c r="K5" i="16"/>
  <c r="H6" i="16"/>
  <c r="I6" i="16"/>
  <c r="J6" i="16" s="1"/>
  <c r="I6" i="13"/>
  <c r="J6" i="13" s="1"/>
  <c r="H6" i="13"/>
  <c r="K43" i="13"/>
  <c r="K48" i="13"/>
  <c r="I21" i="1" s="1"/>
  <c r="K5" i="13"/>
  <c r="J43" i="11"/>
  <c r="J48" i="11"/>
  <c r="H19" i="1" s="1"/>
  <c r="J5" i="11"/>
  <c r="K13" i="11"/>
  <c r="I6" i="10"/>
  <c r="J6" i="10" s="1"/>
  <c r="H6" i="10"/>
  <c r="K43" i="10"/>
  <c r="K48" i="10"/>
  <c r="I18" i="1" s="1"/>
  <c r="K5" i="10"/>
  <c r="H6" i="7"/>
  <c r="I6" i="7"/>
  <c r="J6" i="7" s="1"/>
  <c r="K48" i="7"/>
  <c r="I15" i="1" s="1"/>
  <c r="K43" i="7"/>
  <c r="K5" i="7"/>
  <c r="J48" i="6"/>
  <c r="H14" i="1" s="1"/>
  <c r="J43" i="6"/>
  <c r="K12" i="6"/>
  <c r="J5" i="6"/>
  <c r="K50" i="4"/>
  <c r="J48" i="3"/>
  <c r="H11" i="1" s="1"/>
  <c r="J43" i="3"/>
  <c r="J5" i="3"/>
  <c r="K14" i="3"/>
  <c r="J5" i="25"/>
  <c r="K10" i="25"/>
  <c r="J48" i="25"/>
  <c r="H37" i="1" s="1"/>
  <c r="J43" i="25"/>
  <c r="J44" i="24"/>
  <c r="K15" i="24"/>
  <c r="K44" i="24" s="1"/>
  <c r="K8" i="24"/>
  <c r="J5" i="24"/>
  <c r="J48" i="24"/>
  <c r="H36" i="1" s="1"/>
  <c r="J43" i="24"/>
  <c r="K12" i="23"/>
  <c r="J5" i="23"/>
  <c r="J43" i="23"/>
  <c r="J48" i="23"/>
  <c r="H35" i="1" s="1"/>
  <c r="J47" i="22"/>
  <c r="K36" i="22"/>
  <c r="K47" i="22" s="1"/>
  <c r="J5" i="22"/>
  <c r="K10" i="22"/>
  <c r="J43" i="22"/>
  <c r="J48" i="22"/>
  <c r="H34" i="1" s="1"/>
  <c r="J51" i="21"/>
  <c r="K15" i="21"/>
  <c r="K51" i="21" s="1"/>
  <c r="K14" i="21"/>
  <c r="J5" i="21"/>
  <c r="J50" i="21"/>
  <c r="J56" i="21"/>
  <c r="H33" i="1" s="1"/>
  <c r="J5" i="20"/>
  <c r="K12" i="20"/>
  <c r="J48" i="20"/>
  <c r="H32" i="1" s="1"/>
  <c r="J43" i="20"/>
  <c r="J46" i="19"/>
  <c r="K34" i="19"/>
  <c r="K46" i="19" s="1"/>
  <c r="J52" i="18"/>
  <c r="K22" i="18"/>
  <c r="K52" i="18" s="1"/>
  <c r="J51" i="18"/>
  <c r="K15" i="18"/>
  <c r="K51" i="18" s="1"/>
  <c r="J47" i="17"/>
  <c r="K36" i="17"/>
  <c r="K47" i="17" s="1"/>
  <c r="J5" i="17"/>
  <c r="K12" i="17"/>
  <c r="J48" i="17"/>
  <c r="H29" i="1" s="1"/>
  <c r="J43" i="17"/>
  <c r="J47" i="16"/>
  <c r="K36" i="16"/>
  <c r="K47" i="16" s="1"/>
  <c r="J46" i="16"/>
  <c r="K31" i="16"/>
  <c r="K46" i="16" s="1"/>
  <c r="J5" i="15"/>
  <c r="K8" i="15"/>
  <c r="J40" i="15"/>
  <c r="H27" i="1" s="1"/>
  <c r="J36" i="15"/>
  <c r="J5" i="14"/>
  <c r="K12" i="14"/>
  <c r="J48" i="14"/>
  <c r="H26" i="1" s="1"/>
  <c r="H38" i="1" s="1"/>
  <c r="J43" i="14"/>
  <c r="J47" i="13"/>
  <c r="K36" i="13"/>
  <c r="K47" i="13" s="1"/>
  <c r="J45" i="13"/>
  <c r="K28" i="13"/>
  <c r="K45" i="13" s="1"/>
  <c r="J53" i="12"/>
  <c r="K29" i="12"/>
  <c r="K53" i="12" s="1"/>
  <c r="J52" i="12"/>
  <c r="K22" i="12"/>
  <c r="K52" i="12" s="1"/>
  <c r="J5" i="12"/>
  <c r="K14" i="12"/>
  <c r="J56" i="12"/>
  <c r="H20" i="1" s="1"/>
  <c r="J50" i="12"/>
  <c r="J47" i="11"/>
  <c r="K36" i="11"/>
  <c r="K47" i="11" s="1"/>
  <c r="J46" i="10"/>
  <c r="K29" i="10"/>
  <c r="K46" i="10" s="1"/>
  <c r="J45" i="10"/>
  <c r="K22" i="10"/>
  <c r="K45" i="10" s="1"/>
  <c r="J5" i="9"/>
  <c r="K13" i="9"/>
  <c r="J50" i="9"/>
  <c r="J56" i="9"/>
  <c r="H17" i="1" s="1"/>
  <c r="J46" i="8"/>
  <c r="K29" i="8"/>
  <c r="K46" i="8" s="1"/>
  <c r="J5" i="8"/>
  <c r="K10" i="8"/>
  <c r="J48" i="8"/>
  <c r="H16" i="1" s="1"/>
  <c r="J43" i="8"/>
  <c r="J47" i="7"/>
  <c r="K36" i="7"/>
  <c r="K47" i="7" s="1"/>
  <c r="J45" i="7"/>
  <c r="K22" i="7"/>
  <c r="K45" i="7" s="1"/>
  <c r="J44" i="7"/>
  <c r="K17" i="7"/>
  <c r="K44" i="7" s="1"/>
  <c r="J44" i="5"/>
  <c r="K15" i="5"/>
  <c r="K44" i="5" s="1"/>
  <c r="J5" i="5"/>
  <c r="K10" i="5"/>
  <c r="J43" i="5"/>
  <c r="J48" i="5"/>
  <c r="H13" i="1" s="1"/>
  <c r="J55" i="4"/>
  <c r="K43" i="4"/>
  <c r="K55" i="4" s="1"/>
  <c r="J54" i="4"/>
  <c r="K36" i="4"/>
  <c r="K56" i="4" s="1"/>
  <c r="I12" i="1" s="1"/>
  <c r="J53" i="4"/>
  <c r="K29" i="4"/>
  <c r="K53" i="4" s="1"/>
  <c r="J52" i="4"/>
  <c r="K22" i="4"/>
  <c r="K52" i="4" s="1"/>
  <c r="J51" i="4"/>
  <c r="K20" i="4"/>
  <c r="K51" i="4" s="1"/>
  <c r="J5" i="2"/>
  <c r="K12" i="2"/>
  <c r="J48" i="2"/>
  <c r="H10" i="1" s="1"/>
  <c r="J43" i="2"/>
  <c r="H6" i="4" l="1"/>
  <c r="I6" i="4"/>
  <c r="J6" i="4" s="1"/>
  <c r="H22" i="1"/>
  <c r="K54" i="4"/>
  <c r="K5" i="4"/>
  <c r="I6" i="11"/>
  <c r="J6" i="11" s="1"/>
  <c r="H6" i="11"/>
  <c r="K43" i="11"/>
  <c r="K48" i="11"/>
  <c r="I19" i="1" s="1"/>
  <c r="K5" i="11"/>
  <c r="K48" i="6"/>
  <c r="I14" i="1" s="1"/>
  <c r="K43" i="6"/>
  <c r="K5" i="6"/>
  <c r="H6" i="6"/>
  <c r="I6" i="6"/>
  <c r="J6" i="6" s="1"/>
  <c r="H6" i="3"/>
  <c r="I6" i="3"/>
  <c r="J6" i="3" s="1"/>
  <c r="K48" i="3"/>
  <c r="I11" i="1" s="1"/>
  <c r="K43" i="3"/>
  <c r="K5" i="3"/>
  <c r="H6" i="25"/>
  <c r="I6" i="25"/>
  <c r="J6" i="25" s="1"/>
  <c r="K48" i="25"/>
  <c r="I37" i="1" s="1"/>
  <c r="K43" i="25"/>
  <c r="K5" i="25"/>
  <c r="K48" i="24"/>
  <c r="I36" i="1" s="1"/>
  <c r="K43" i="24"/>
  <c r="K5" i="24"/>
  <c r="H6" i="24"/>
  <c r="I6" i="24"/>
  <c r="J6" i="24" s="1"/>
  <c r="K48" i="23"/>
  <c r="I35" i="1" s="1"/>
  <c r="K43" i="23"/>
  <c r="K5" i="23"/>
  <c r="H6" i="23"/>
  <c r="I6" i="23"/>
  <c r="J6" i="23" s="1"/>
  <c r="I6" i="22"/>
  <c r="J6" i="22" s="1"/>
  <c r="H6" i="22"/>
  <c r="K43" i="22"/>
  <c r="K48" i="22"/>
  <c r="I34" i="1" s="1"/>
  <c r="K5" i="22"/>
  <c r="K50" i="21"/>
  <c r="K56" i="21"/>
  <c r="I33" i="1" s="1"/>
  <c r="K5" i="21"/>
  <c r="H6" i="21"/>
  <c r="I6" i="21"/>
  <c r="J6" i="21" s="1"/>
  <c r="H6" i="20"/>
  <c r="I6" i="20"/>
  <c r="J6" i="20" s="1"/>
  <c r="K43" i="20"/>
  <c r="K48" i="20"/>
  <c r="I32" i="1" s="1"/>
  <c r="K5" i="20"/>
  <c r="I6" i="17"/>
  <c r="J6" i="17" s="1"/>
  <c r="H6" i="17"/>
  <c r="K48" i="17"/>
  <c r="I29" i="1" s="1"/>
  <c r="K43" i="17"/>
  <c r="K5" i="17"/>
  <c r="H6" i="15"/>
  <c r="I6" i="15"/>
  <c r="J6" i="15" s="1"/>
  <c r="K40" i="15"/>
  <c r="I27" i="1" s="1"/>
  <c r="K36" i="15"/>
  <c r="K5" i="15"/>
  <c r="H6" i="14"/>
  <c r="I6" i="14"/>
  <c r="J6" i="14" s="1"/>
  <c r="K48" i="14"/>
  <c r="I26" i="1" s="1"/>
  <c r="K43" i="14"/>
  <c r="K5" i="14"/>
  <c r="H6" i="12"/>
  <c r="I6" i="12"/>
  <c r="J6" i="12" s="1"/>
  <c r="K50" i="12"/>
  <c r="K56" i="12"/>
  <c r="I20" i="1" s="1"/>
  <c r="K5" i="12"/>
  <c r="H6" i="9"/>
  <c r="I6" i="9"/>
  <c r="J6" i="9" s="1"/>
  <c r="K50" i="9"/>
  <c r="K56" i="9"/>
  <c r="I17" i="1" s="1"/>
  <c r="K5" i="9"/>
  <c r="H6" i="8"/>
  <c r="I6" i="8"/>
  <c r="J6" i="8" s="1"/>
  <c r="K43" i="8"/>
  <c r="K48" i="8"/>
  <c r="I16" i="1" s="1"/>
  <c r="K5" i="8"/>
  <c r="H6" i="5"/>
  <c r="I6" i="5"/>
  <c r="J6" i="5" s="1"/>
  <c r="K43" i="5"/>
  <c r="K48" i="5"/>
  <c r="I13" i="1" s="1"/>
  <c r="K5" i="5"/>
  <c r="H6" i="2"/>
  <c r="I6" i="2"/>
  <c r="J6" i="2" s="1"/>
  <c r="K43" i="2"/>
  <c r="K48" i="2"/>
  <c r="I10" i="1" s="1"/>
  <c r="I22" i="1" s="1"/>
  <c r="K5" i="2"/>
  <c r="I38" i="1" l="1"/>
</calcChain>
</file>

<file path=xl/sharedStrings.xml><?xml version="1.0" encoding="utf-8"?>
<sst xmlns="http://schemas.openxmlformats.org/spreadsheetml/2006/main" count="809" uniqueCount="62">
  <si>
    <t>✦  OF CHATTER  —  ANNUAL SUMMARY  ✦</t>
  </si>
  <si>
    <t>Auto-pulls from each month tab  •  Week = Mon–Sun  •  Absences excluded from totals</t>
  </si>
  <si>
    <t>TO ADD A NEW MONTH:  Copy any tab → rename → change Month/Year dropdowns → clear Gross Sales (blue cells) → log away!</t>
  </si>
  <si>
    <t>TO MARK ABSENT:  On the month tab, click the Status cell (column L) for that day and select 'Absent' from the dropdown. Salary won't be counted.</t>
  </si>
  <si>
    <t>3% — Net $0–$499</t>
  </si>
  <si>
    <t>4% — Net $500–$999</t>
  </si>
  <si>
    <t>5% — Net $1,000+</t>
  </si>
  <si>
    <t>📅  2026</t>
  </si>
  <si>
    <t>#</t>
  </si>
  <si>
    <t>Month</t>
  </si>
  <si>
    <t>Shift</t>
  </si>
  <si>
    <t>Gross ($)</t>
  </si>
  <si>
    <t>Net ($)</t>
  </si>
  <si>
    <t>Base ($)</t>
  </si>
  <si>
    <t>Comm ($)</t>
  </si>
  <si>
    <t>Total ($)</t>
  </si>
  <si>
    <t>Total (₱)</t>
  </si>
  <si>
    <t>Absences</t>
  </si>
  <si>
    <t>2026 TOTAL</t>
  </si>
  <si>
    <t>📅  2027</t>
  </si>
  <si>
    <t>2027 TOTAL</t>
  </si>
  <si>
    <t>✦  OF CHATTER SALARY TRACKER  ✦</t>
  </si>
  <si>
    <t>📅  MONTH &amp; YEAR:</t>
  </si>
  <si>
    <t>January</t>
  </si>
  <si>
    <t>2026</t>
  </si>
  <si>
    <t>← Change to update all dates</t>
  </si>
  <si>
    <t>Daily Goal ($):</t>
  </si>
  <si>
    <t>PHP Rate:</t>
  </si>
  <si>
    <t>← editable</t>
  </si>
  <si>
    <t>🕐  SHIFT SCHEDULE:</t>
  </si>
  <si>
    <t>4:00 PM – 12:00 MN</t>
  </si>
  <si>
    <t>← Pick your shift  •  Pay stays $2/hr regardless of shift</t>
  </si>
  <si>
    <t>MONTH-TO-DATE</t>
  </si>
  <si>
    <t>BEST THIS MONTH</t>
  </si>
  <si>
    <t>PROJECTED MONTH:</t>
  </si>
  <si>
    <t>← projected (excludes absences)</t>
  </si>
  <si>
    <t>Date</t>
  </si>
  <si>
    <t>Day</t>
  </si>
  <si>
    <t>Gross Sales
($)</t>
  </si>
  <si>
    <t>Net Sales
(Gross×80%)</t>
  </si>
  <si>
    <t>Hours
Worked</t>
  </si>
  <si>
    <t>Base Pay
($)</t>
  </si>
  <si>
    <t>Comm
Rate</t>
  </si>
  <si>
    <t>Commission
($)</t>
  </si>
  <si>
    <t>TOTAL
SALARY ($)</t>
  </si>
  <si>
    <t>Total
(PHP ₱)</t>
  </si>
  <si>
    <t>Status</t>
  </si>
  <si>
    <t>Notes</t>
  </si>
  <si>
    <t>Rest 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</si>
  <si>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</si>
  <si>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</si>
  <si>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</si>
  <si>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</si>
  <si>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</si>
  <si>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</si>
  <si>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</si>
  <si>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</si>
  <si>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</si>
  <si>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</si>
  <si>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</si>
  <si>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2027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</si>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</sst>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₱#,##0"/>
    <numFmt numFmtId="165" formatCode="&quot;avg $&quot;#,##0.00&quot;/day&quot;"/>
    <numFmt numFmtId="166" formatCode="&quot;≈ $&quot;#,##0.00"/>
    <numFmt numFmtId="167" formatCode="&quot;≈ ₱&quot;#,##0"/>
    <numFmt numFmtId="168" formatCode="mmm\ dd&quot;, &quot;yyyy"/>
    <numFmt numFmtId="169" formatCode="#,##0.00&quot; ₱&quot;"/>
    <numFmt numFmtId="170" formatCode="\₱#,##0.00"/>
  </numFmts>
  <fonts count="34" x14ac:knownFonts="1">
    <font>
      <sz val="11"/>
      <color theme="1"/>
      <name val="Calibri"/>
      <family val="2"/>
      <charset val="1"/>
    </font>
    <font>
      <b/>
      <sz val="15"/>
      <color rgb="FFF5A623"/>
      <name val="Segoe UI"/>
      <charset val="1"/>
    </font>
    <font>
      <i/>
      <sz val="9"/>
      <color rgb="FFD5DAE6"/>
      <name val="Segoe UI"/>
      <charset val="1"/>
    </font>
    <font>
      <i/>
      <sz val="9"/>
      <color rgb="FFFFFFFF"/>
      <name val="Segoe UI"/>
      <charset val="1"/>
    </font>
    <font>
      <i/>
      <sz val="9"/>
      <color rgb="FF6A1B9A"/>
      <name val="Segoe UI"/>
      <charset val="1"/>
    </font>
    <font>
      <b/>
      <sz val="10"/>
      <color rgb="FF856404"/>
      <name val="Segoe UI"/>
      <charset val="1"/>
    </font>
    <font>
      <b/>
      <sz val="10"/>
      <color rgb="FF0C5460"/>
      <name val="Segoe UI"/>
      <charset val="1"/>
    </font>
    <font>
      <b/>
      <sz val="10"/>
      <color rgb="FF155724"/>
      <name val="Segoe UI"/>
      <charset val="1"/>
    </font>
    <font>
      <b/>
      <sz val="11"/>
      <color rgb="FFFFFFFF"/>
      <name val="Segoe UI"/>
      <charset val="1"/>
    </font>
    <font>
      <b/>
      <sz val="9"/>
      <color rgb="FFFFFFFF"/>
      <name val="Segoe UI"/>
      <charset val="1"/>
    </font>
    <font>
      <sz val="10"/>
      <color rgb="FFAAAAAA"/>
      <name val="Segoe UI"/>
      <charset val="1"/>
    </font>
    <font>
      <b/>
      <sz val="10"/>
      <color rgb="FF0F3460"/>
      <name val="Segoe UI"/>
      <charset val="1"/>
    </font>
    <font>
      <sz val="10"/>
      <color rgb="FF555555"/>
      <name val="Segoe UI"/>
      <charset val="1"/>
    </font>
    <font>
      <sz val="10"/>
      <color rgb="FF222222"/>
      <name val="Segoe UI"/>
      <charset val="1"/>
    </font>
    <font>
      <b/>
      <sz val="10"/>
      <color rgb="FF27AE60"/>
      <name val="Segoe UI"/>
      <charset val="1"/>
    </font>
    <font>
      <b/>
      <sz val="10"/>
      <color rgb="FFF5A623"/>
      <name val="Segoe UI"/>
      <charset val="1"/>
    </font>
    <font>
      <sz val="10"/>
      <color rgb="FF6A1B9A"/>
      <name val="Segoe UI"/>
      <charset val="1"/>
    </font>
    <font>
      <b/>
      <sz val="11"/>
      <color rgb="FFF5A623"/>
      <name val="Segoe UI"/>
      <charset val="1"/>
    </font>
    <font>
      <b/>
      <sz val="10"/>
      <color rgb="FFCCCCCC"/>
      <name val="Segoe UI"/>
      <charset val="1"/>
    </font>
    <font>
      <b/>
      <sz val="12"/>
      <color rgb="FFF5A623"/>
      <name val="Segoe UI"/>
      <charset val="1"/>
    </font>
    <font>
      <b/>
      <sz val="10"/>
      <color rgb="FF6A1B9A"/>
      <name val="Segoe UI"/>
      <charset val="1"/>
    </font>
    <font>
      <b/>
      <sz val="11"/>
      <color rgb="FF0000CC"/>
      <name val="Segoe UI"/>
      <charset val="1"/>
    </font>
    <font>
      <i/>
      <sz val="9"/>
      <color rgb="FFAABBCC"/>
      <name val="Segoe UI"/>
      <charset val="1"/>
    </font>
    <font>
      <b/>
      <sz val="9"/>
      <color rgb="FFF5A623"/>
      <name val="Segoe UI"/>
      <charset val="1"/>
    </font>
    <font>
      <b/>
      <sz val="9"/>
      <color rgb="FF27AE60"/>
      <name val="Segoe UI"/>
      <charset val="1"/>
    </font>
    <font>
      <sz val="10"/>
      <color rgb="FF0000CC"/>
      <name val="Segoe UI"/>
      <charset val="1"/>
    </font>
    <font>
      <sz val="10"/>
      <color rgb="FF444444"/>
      <name val="Segoe UI"/>
      <charset val="1"/>
    </font>
    <font>
      <sz val="10"/>
      <color rgb="FFBBBBBB"/>
      <name val="Segoe UI"/>
      <charset val="1"/>
    </font>
    <font>
      <sz val="10"/>
      <color rgb="FF888888"/>
      <name val="Segoe UI"/>
      <charset val="1"/>
    </font>
    <font>
      <sz val="10"/>
      <color rgb="FF888899"/>
      <name val="Segoe UI"/>
      <charset val="1"/>
    </font>
    <font>
      <sz val="11"/>
      <color rgb="FF0F3460"/>
      <name val="Cambria"/>
      <charset val="1"/>
    </font>
    <font>
      <b/>
      <sz val="10"/>
      <color rgb="FFFFFFFF"/>
      <name val="Segoe UI"/>
      <charset val="1"/>
    </font>
    <font>
      <sz val="11"/>
      <color rgb="FFE94560"/>
      <name val="Cambria"/>
      <charset val="1"/>
    </font>
    <font>
      <b/>
      <sz val="13"/>
      <color rgb="FFF5A623"/>
      <name val="Segoe UI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62040"/>
      </patternFill>
    </fill>
    <fill>
      <patternFill patternType="solid">
        <fgColor rgb="FF0F3460"/>
        <bgColor rgb="FF162040"/>
      </patternFill>
    </fill>
    <fill>
      <patternFill patternType="solid">
        <fgColor rgb="FFF3E5F5"/>
        <bgColor rgb="FFEEE8FF"/>
      </patternFill>
    </fill>
    <fill>
      <patternFill patternType="solid">
        <fgColor rgb="FFFFF3CD"/>
        <bgColor rgb="FFFFF8E1"/>
      </patternFill>
    </fill>
    <fill>
      <patternFill patternType="solid">
        <fgColor rgb="FFD1ECF1"/>
        <bgColor rgb="FFD4EDDA"/>
      </patternFill>
    </fill>
    <fill>
      <patternFill patternType="solid">
        <fgColor rgb="FFD4EDDA"/>
        <bgColor rgb="FFD1ECF1"/>
      </patternFill>
    </fill>
    <fill>
      <patternFill patternType="solid">
        <fgColor rgb="FFE94560"/>
        <bgColor rgb="FF993366"/>
      </patternFill>
    </fill>
    <fill>
      <patternFill patternType="solid">
        <fgColor rgb="FFFFFFFF"/>
        <bgColor rgb="FFFFF8E1"/>
      </patternFill>
    </fill>
    <fill>
      <patternFill patternType="solid">
        <fgColor rgb="FFF2F4F8"/>
        <bgColor rgb="FFE8F0FF"/>
      </patternFill>
    </fill>
    <fill>
      <patternFill patternType="solid">
        <fgColor rgb="FF0A1628"/>
        <bgColor rgb="FF1A1A2E"/>
      </patternFill>
    </fill>
    <fill>
      <patternFill patternType="solid">
        <fgColor rgb="FFE8F0FF"/>
        <bgColor rgb="FFF2F4F8"/>
      </patternFill>
    </fill>
    <fill>
      <patternFill patternType="solid">
        <fgColor rgb="FF162040"/>
        <bgColor rgb="FF1A1A2E"/>
      </patternFill>
    </fill>
    <fill>
      <patternFill patternType="solid">
        <fgColor rgb="FFEEE8FF"/>
        <bgColor rgb="FFF3E5F5"/>
      </patternFill>
    </fill>
  </fills>
  <borders count="10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F5A623"/>
      </top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 style="thin">
        <color rgb="FFCCCCCC"/>
      </right>
      <top style="medium">
        <color rgb="FF4472C4"/>
      </top>
      <bottom style="medium">
        <color rgb="FF4472C4"/>
      </bottom>
      <diagonal/>
    </border>
    <border>
      <left/>
      <right/>
      <top/>
      <bottom style="medium">
        <color rgb="FFE94560"/>
      </bottom>
      <diagonal/>
    </border>
    <border>
      <left style="medium">
        <color rgb="FF555555"/>
      </left>
      <right/>
      <top style="medium">
        <color rgb="FFF5A623"/>
      </top>
      <bottom style="medium">
        <color rgb="FFF5A623"/>
      </bottom>
      <diagonal/>
    </border>
    <border>
      <left style="medium">
        <color rgb="FF555555"/>
      </left>
      <right style="medium">
        <color rgb="FF555555"/>
      </right>
      <top style="medium">
        <color rgb="FFF5A623"/>
      </top>
      <bottom style="medium">
        <color rgb="FFF5A623"/>
      </bottom>
      <diagonal/>
    </border>
    <border>
      <left/>
      <right/>
      <top style="medium">
        <color rgb="FFF5A623"/>
      </top>
      <bottom style="medium">
        <color rgb="FFF5A623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9" fillId="3" borderId="2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left" vertical="center"/>
    </xf>
    <xf numFmtId="0" fontId="22" fillId="11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4" fontId="13" fillId="9" borderId="2" xfId="0" applyNumberFormat="1" applyFont="1" applyFill="1" applyBorder="1" applyAlignment="1">
      <alignment horizontal="center" vertical="center" wrapText="1"/>
    </xf>
    <xf numFmtId="4" fontId="14" fillId="9" borderId="2" xfId="0" applyNumberFormat="1" applyFont="1" applyFill="1" applyBorder="1" applyAlignment="1">
      <alignment horizontal="center" vertical="center" wrapText="1"/>
    </xf>
    <xf numFmtId="164" fontId="15" fillId="9" borderId="2" xfId="0" applyNumberFormat="1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4" fontId="13" fillId="10" borderId="2" xfId="0" applyNumberFormat="1" applyFont="1" applyFill="1" applyBorder="1" applyAlignment="1">
      <alignment horizontal="center" vertical="center" wrapText="1"/>
    </xf>
    <xf numFmtId="4" fontId="14" fillId="10" borderId="2" xfId="0" applyNumberFormat="1" applyFont="1" applyFill="1" applyBorder="1" applyAlignment="1">
      <alignment horizontal="center" vertical="center" wrapText="1"/>
    </xf>
    <xf numFmtId="164" fontId="15" fillId="10" borderId="2" xfId="0" applyNumberFormat="1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4" fontId="18" fillId="3" borderId="3" xfId="0" applyNumberFormat="1" applyFont="1" applyFill="1" applyBorder="1" applyAlignment="1">
      <alignment horizontal="center" vertical="center" wrapText="1"/>
    </xf>
    <xf numFmtId="4" fontId="19" fillId="3" borderId="3" xfId="0" applyNumberFormat="1" applyFont="1" applyFill="1" applyBorder="1" applyAlignment="1">
      <alignment horizontal="center" vertical="center" wrapText="1"/>
    </xf>
    <xf numFmtId="164" fontId="19" fillId="3" borderId="3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1" fillId="12" borderId="4" xfId="0" applyFont="1" applyFill="1" applyBorder="1" applyAlignment="1">
      <alignment horizontal="center" vertical="center" wrapText="1"/>
    </xf>
    <xf numFmtId="4" fontId="21" fillId="12" borderId="4" xfId="0" applyNumberFormat="1" applyFont="1" applyFill="1" applyBorder="1" applyAlignment="1">
      <alignment horizontal="center" vertical="center" wrapText="1"/>
    </xf>
    <xf numFmtId="4" fontId="23" fillId="3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/>
    <xf numFmtId="4" fontId="24" fillId="13" borderId="2" xfId="0" applyNumberFormat="1" applyFont="1" applyFill="1" applyBorder="1" applyAlignment="1">
      <alignment horizontal="center" vertical="center" wrapText="1"/>
    </xf>
    <xf numFmtId="165" fontId="23" fillId="13" borderId="2" xfId="0" applyNumberFormat="1" applyFont="1" applyFill="1" applyBorder="1" applyAlignment="1">
      <alignment horizontal="center" vertical="center" wrapText="1"/>
    </xf>
    <xf numFmtId="166" fontId="14" fillId="13" borderId="2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168" fontId="13" fillId="10" borderId="2" xfId="0" applyNumberFormat="1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4" fontId="25" fillId="10" borderId="2" xfId="0" applyNumberFormat="1" applyFont="1" applyFill="1" applyBorder="1" applyAlignment="1">
      <alignment horizontal="center" vertical="center" wrapText="1"/>
    </xf>
    <xf numFmtId="169" fontId="26" fillId="10" borderId="2" xfId="0" applyNumberFormat="1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168" fontId="13" fillId="14" borderId="2" xfId="0" applyNumberFormat="1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4" fontId="25" fillId="14" borderId="2" xfId="0" applyNumberFormat="1" applyFont="1" applyFill="1" applyBorder="1" applyAlignment="1">
      <alignment horizontal="center" vertical="center" wrapText="1"/>
    </xf>
    <xf numFmtId="4" fontId="13" fillId="14" borderId="2" xfId="0" applyNumberFormat="1" applyFont="1" applyFill="1" applyBorder="1" applyAlignment="1">
      <alignment horizontal="center" vertical="center" wrapText="1"/>
    </xf>
    <xf numFmtId="4" fontId="14" fillId="14" borderId="2" xfId="0" applyNumberFormat="1" applyFont="1" applyFill="1" applyBorder="1" applyAlignment="1">
      <alignment horizontal="center" vertical="center" wrapText="1"/>
    </xf>
    <xf numFmtId="169" fontId="26" fillId="14" borderId="2" xfId="0" applyNumberFormat="1" applyFont="1" applyFill="1" applyBorder="1" applyAlignment="1">
      <alignment horizontal="center" vertical="center" wrapText="1"/>
    </xf>
    <xf numFmtId="0" fontId="29" fillId="14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168" fontId="13" fillId="9" borderId="2" xfId="0" applyNumberFormat="1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4" fontId="25" fillId="9" borderId="2" xfId="0" applyNumberFormat="1" applyFont="1" applyFill="1" applyBorder="1" applyAlignment="1">
      <alignment horizontal="center" vertical="center" wrapText="1"/>
    </xf>
    <xf numFmtId="169" fontId="26" fillId="9" borderId="2" xfId="0" applyNumberFormat="1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4" fontId="18" fillId="3" borderId="8" xfId="0" applyNumberFormat="1" applyFont="1" applyFill="1" applyBorder="1" applyAlignment="1">
      <alignment horizontal="center" vertical="center" wrapText="1"/>
    </xf>
    <xf numFmtId="0" fontId="30" fillId="3" borderId="8" xfId="0" applyFont="1" applyFill="1" applyBorder="1" applyAlignment="1">
      <alignment horizontal="center" vertical="center" wrapText="1"/>
    </xf>
    <xf numFmtId="4" fontId="17" fillId="3" borderId="8" xfId="0" applyNumberFormat="1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4" fontId="31" fillId="8" borderId="8" xfId="0" applyNumberFormat="1" applyFont="1" applyFill="1" applyBorder="1" applyAlignment="1">
      <alignment horizontal="center" vertical="center" wrapText="1"/>
    </xf>
    <xf numFmtId="0" fontId="32" fillId="8" borderId="8" xfId="0" applyFont="1" applyFill="1" applyBorder="1" applyAlignment="1">
      <alignment horizontal="center" vertical="center" wrapText="1"/>
    </xf>
    <xf numFmtId="4" fontId="33" fillId="8" borderId="8" xfId="0" applyNumberFormat="1" applyFont="1" applyFill="1" applyBorder="1" applyAlignment="1">
      <alignment horizontal="center" vertical="center" wrapText="1"/>
    </xf>
    <xf numFmtId="170" fontId="33" fillId="8" borderId="8" xfId="0" applyNumberFormat="1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center" vertical="center" wrapText="1"/>
    </xf>
    <xf numFmtId="0" fontId="31" fillId="8" borderId="9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left" vertical="center"/>
    </xf>
    <xf numFmtId="167" fontId="14" fillId="13" borderId="2" xfId="0" applyNumberFormat="1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left" vertical="center"/>
    </xf>
    <xf numFmtId="0" fontId="15" fillId="11" borderId="2" xfId="0" applyFont="1" applyFill="1" applyBorder="1" applyAlignment="1">
      <alignment horizontal="left" vertical="center"/>
    </xf>
    <xf numFmtId="0" fontId="21" fillId="12" borderId="5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3" fillId="11" borderId="2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8"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sz val="10"/>
        <color rgb="FF0C5460"/>
        <name val="Segoe UI"/>
        <charset val="1"/>
      </font>
      <fill>
        <patternFill>
          <bgColor rgb="FFD1ECF1"/>
        </patternFill>
      </fill>
    </dxf>
    <dxf>
      <font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i/>
        <sz val="10"/>
        <color rgb="FF6A1B9A"/>
        <name val="Segoe UI"/>
        <charset val="1"/>
      </font>
      <fill>
        <patternFill>
          <bgColor rgb="FFF3E5F5"/>
        </patternFill>
      </fill>
    </dxf>
    <dxf>
      <font>
        <b/>
        <sz val="10"/>
        <color rgb="FF5D4E00"/>
        <name val="Segoe UI"/>
        <charset val="1"/>
      </font>
      <fill>
        <patternFill>
          <bgColor rgb="FFFFF8E1"/>
        </patternFill>
      </fill>
      <border diagonalUp="0" diagonalDown="0">
        <left/>
        <right/>
        <top style="medium">
          <color rgb="FFF5A623"/>
        </top>
        <bottom style="medium">
          <color rgb="FFF5A623"/>
        </bottom>
      </border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  <dxf>
      <font>
        <b/>
        <sz val="10"/>
        <color rgb="FF7B241C"/>
        <name val="Segoe UI"/>
        <charset val="1"/>
      </font>
      <fill>
        <patternFill>
          <bgColor rgb="FFFADBD8"/>
        </patternFill>
      </fill>
    </dxf>
    <dxf>
      <font>
        <b/>
        <sz val="10"/>
        <color rgb="FF155724"/>
        <name val="Segoe UI"/>
        <charset val="1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2F4F8"/>
      <rgbColor rgb="FFFF00FF"/>
      <rgbColor rgb="FF00FFFF"/>
      <rgbColor rgb="FF800000"/>
      <rgbColor rgb="FF155724"/>
      <rgbColor rgb="FF162040"/>
      <rgbColor rgb="FF856404"/>
      <rgbColor rgb="FF6A1B9A"/>
      <rgbColor rgb="FF0C5460"/>
      <rgbColor rgb="FFBBBBBB"/>
      <rgbColor rgb="FF888888"/>
      <rgbColor rgb="FFAAAAAA"/>
      <rgbColor rgb="FF5D4E00"/>
      <rgbColor rgb="FFFFF8E1"/>
      <rgbColor rgb="FFD1ECF1"/>
      <rgbColor rgb="FF660066"/>
      <rgbColor rgb="FFFF8080"/>
      <rgbColor rgb="FF0066CC"/>
      <rgbColor rgb="FFD5DAE6"/>
      <rgbColor rgb="FF1A1A2E"/>
      <rgbColor rgb="FFFF00FF"/>
      <rgbColor rgb="FFEEE8FF"/>
      <rgbColor rgb="FF00FFFF"/>
      <rgbColor rgb="FF800080"/>
      <rgbColor rgb="FF800000"/>
      <rgbColor rgb="FF008080"/>
      <rgbColor rgb="FF0000FF"/>
      <rgbColor rgb="FF00CCFF"/>
      <rgbColor rgb="FFE8F0FF"/>
      <rgbColor rgb="FFD4EDDA"/>
      <rgbColor rgb="FFFFF3CD"/>
      <rgbColor rgb="FFAABBCC"/>
      <rgbColor rgb="FFF3E5F5"/>
      <rgbColor rgb="FFCCCCCC"/>
      <rgbColor rgb="FFFADBD8"/>
      <rgbColor rgb="FF4472C4"/>
      <rgbColor rgb="FF33CCCC"/>
      <rgbColor rgb="FF99CC00"/>
      <rgbColor rgb="FFFFCC00"/>
      <rgbColor rgb="FFF5A623"/>
      <rgbColor rgb="FFE94560"/>
      <rgbColor rgb="FF555555"/>
      <rgbColor rgb="FF888899"/>
      <rgbColor rgb="FF0F3460"/>
      <rgbColor rgb="FF27AE60"/>
      <rgbColor rgb="FF0A1628"/>
      <rgbColor rgb="FF444444"/>
      <rgbColor rgb="FF7B241C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5" customWidth="1"/>
    <col min="2" max="2" width="20" customWidth="1"/>
    <col min="3" max="3" width="16" customWidth="1"/>
    <col min="4" max="7" width="14" customWidth="1"/>
    <col min="8" max="10" width="16" customWidth="1"/>
  </cols>
  <sheetData>
    <row r="1" spans="1:10" ht="36" customHeight="1" x14ac:dyDescent="0.25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8" customHeight="1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</row>
    <row r="4" spans="1:10" ht="21.75" customHeight="1" x14ac:dyDescent="0.25">
      <c r="A4" s="75" t="s">
        <v>2</v>
      </c>
      <c r="B4" s="75"/>
      <c r="C4" s="75"/>
      <c r="D4" s="75"/>
      <c r="E4" s="75"/>
      <c r="F4" s="75"/>
      <c r="G4" s="75"/>
      <c r="H4" s="75"/>
      <c r="I4" s="75"/>
      <c r="J4" s="75"/>
    </row>
    <row r="5" spans="1:10" ht="15" customHeight="1" x14ac:dyDescent="0.25">
      <c r="A5" s="76" t="s">
        <v>3</v>
      </c>
      <c r="B5" s="76"/>
      <c r="C5" s="76"/>
      <c r="D5" s="76"/>
      <c r="E5" s="76"/>
      <c r="F5" s="76"/>
      <c r="G5" s="76"/>
      <c r="H5" s="76"/>
      <c r="I5" s="76"/>
      <c r="J5" s="76"/>
    </row>
    <row r="6" spans="1:10" ht="21.75" customHeight="1" x14ac:dyDescent="0.25">
      <c r="A6" s="77" t="s">
        <v>4</v>
      </c>
      <c r="B6" s="77"/>
      <c r="C6" s="77"/>
      <c r="D6" s="78" t="s">
        <v>5</v>
      </c>
      <c r="E6" s="78"/>
      <c r="F6" s="78"/>
      <c r="G6" s="79" t="s">
        <v>6</v>
      </c>
      <c r="H6" s="79"/>
      <c r="I6" s="79"/>
    </row>
    <row r="8" spans="1:10" ht="25.5" customHeight="1" x14ac:dyDescent="0.25">
      <c r="A8" s="73" t="s">
        <v>7</v>
      </c>
      <c r="B8" s="73"/>
      <c r="C8" s="73"/>
      <c r="D8" s="73"/>
      <c r="E8" s="73"/>
      <c r="F8" s="73"/>
      <c r="G8" s="73"/>
      <c r="H8" s="73"/>
      <c r="I8" s="73"/>
      <c r="J8" s="73"/>
    </row>
    <row r="9" spans="1:10" ht="21.75" customHeigh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</row>
    <row r="10" spans="1:10" ht="21.75" customHeight="1" x14ac:dyDescent="0.25">
      <c r="A10" s="4">
        <v>1</v>
      </c>
      <c r="B10" s="5" t="str">
        <f>IFERROR('Jan 2026'!C3&amp;" '"&amp;RIGHT('Jan 2026'!D3,2),"Jan 2026")</f>
        <v>January '26</v>
      </c>
      <c r="C10" s="6" t="str">
        <f>IFERROR('Jan 2026'!C4,"—")</f>
        <v>4:00 PM – 12:00 MN</v>
      </c>
      <c r="D10" s="7">
        <f>IFERROR('Jan 2026'!D48,0)</f>
        <v>0</v>
      </c>
      <c r="E10" s="7">
        <f>IFERROR('Jan 2026'!E48,0)</f>
        <v>0</v>
      </c>
      <c r="F10" s="7">
        <f>IFERROR('Jan 2026'!G48,0)</f>
        <v>416</v>
      </c>
      <c r="G10" s="7">
        <f>IFERROR('Jan 2026'!I48,0)</f>
        <v>0</v>
      </c>
      <c r="H10" s="8">
        <f>IFERROR('Jan 2026'!J48,0)</f>
        <v>416</v>
      </c>
      <c r="I10" s="9">
        <f>IFERROR('Jan 2026'!K48,0)</f>
        <v>24128</v>
      </c>
      <c r="J10" s="10" t="str">
        <f>IFERROR(LEFT('Jan 2026'!L48,FIND(" ",'Jan 2026'!L48)-1),"0")</f>
        <v>0</v>
      </c>
    </row>
    <row r="11" spans="1:10" ht="21.75" customHeight="1" x14ac:dyDescent="0.25">
      <c r="A11" s="11">
        <v>2</v>
      </c>
      <c r="B11" s="12" t="str">
        <f>IFERROR('Feb 2026'!C3&amp;" '"&amp;RIGHT('Feb 2026'!D3,2),"Feb 2026")</f>
        <v>February '26</v>
      </c>
      <c r="C11" s="13" t="str">
        <f>IFERROR('Feb 2026'!C4,"—")</f>
        <v>4:00 PM – 12:00 MN</v>
      </c>
      <c r="D11" s="14">
        <f>IFERROR('Feb 2026'!D48,0)</f>
        <v>0</v>
      </c>
      <c r="E11" s="14">
        <f>IFERROR('Feb 2026'!E48,0)</f>
        <v>0</v>
      </c>
      <c r="F11" s="14">
        <f>IFERROR('Feb 2026'!G48,0)</f>
        <v>384</v>
      </c>
      <c r="G11" s="14">
        <f>IFERROR('Feb 2026'!I48,0)</f>
        <v>0</v>
      </c>
      <c r="H11" s="15">
        <f>IFERROR('Feb 2026'!J48,0)</f>
        <v>384</v>
      </c>
      <c r="I11" s="16">
        <f>IFERROR('Feb 2026'!K48,0)</f>
        <v>22272</v>
      </c>
      <c r="J11" s="17" t="str">
        <f>IFERROR(LEFT('Feb 2026'!L48,FIND(" ",'Feb 2026'!L48)-1),"0")</f>
        <v>0</v>
      </c>
    </row>
    <row r="12" spans="1:10" ht="21.75" customHeight="1" x14ac:dyDescent="0.25">
      <c r="A12" s="4">
        <v>3</v>
      </c>
      <c r="B12" s="5" t="str">
        <f>IFERROR('Mar 2026'!C3&amp;" '"&amp;RIGHT('Mar 2026'!D3,2),"Mar 2026")</f>
        <v>March '26</v>
      </c>
      <c r="C12" s="6" t="str">
        <f>IFERROR('Mar 2026'!C4,"—")</f>
        <v>4:00 PM – 12:00 MN</v>
      </c>
      <c r="D12" s="7">
        <f>IFERROR('Mar 2026'!D56,0)</f>
        <v>91</v>
      </c>
      <c r="E12" s="7">
        <f>IFERROR('Mar 2026'!E56,0)</f>
        <v>72.8</v>
      </c>
      <c r="F12" s="7">
        <f>IFERROR('Mar 2026'!G56,0)</f>
        <v>416</v>
      </c>
      <c r="G12" s="7">
        <f>IFERROR('Mar 2026'!I56,0)</f>
        <v>2.1839999999999997</v>
      </c>
      <c r="H12" s="8">
        <f>IFERROR('Mar 2026'!J56,0)</f>
        <v>418.18400000000003</v>
      </c>
      <c r="I12" s="9">
        <f>IFERROR('Mar 2026'!K56,0)</f>
        <v>24254.671999999999</v>
      </c>
      <c r="J12" s="10" t="str">
        <f>IFERROR(LEFT('Mar 2026'!L56,FIND(" ",'Mar 2026'!L56)-1),"0")</f>
        <v>1</v>
      </c>
    </row>
    <row r="13" spans="1:10" ht="21.75" customHeight="1" x14ac:dyDescent="0.25">
      <c r="A13" s="11">
        <v>4</v>
      </c>
      <c r="B13" s="12" t="str">
        <f>IFERROR('Apr 2026'!C3&amp;" '"&amp;RIGHT('Apr 2026'!D3,2),"Apr 2026")</f>
        <v>April '26</v>
      </c>
      <c r="C13" s="13" t="str">
        <f>IFERROR('Apr 2026'!C4,"—")</f>
        <v>4:00 PM – 12:00 MN</v>
      </c>
      <c r="D13" s="14">
        <f>IFERROR('Apr 2026'!D48,0)</f>
        <v>0</v>
      </c>
      <c r="E13" s="14">
        <f>IFERROR('Apr 2026'!E48,0)</f>
        <v>0</v>
      </c>
      <c r="F13" s="14">
        <f>IFERROR('Apr 2026'!G48,0)</f>
        <v>400</v>
      </c>
      <c r="G13" s="14">
        <f>IFERROR('Apr 2026'!I48,0)</f>
        <v>0</v>
      </c>
      <c r="H13" s="15">
        <f>IFERROR('Apr 2026'!J48,0)</f>
        <v>400</v>
      </c>
      <c r="I13" s="16">
        <f>IFERROR('Apr 2026'!K48,0)</f>
        <v>23200</v>
      </c>
      <c r="J13" s="17" t="str">
        <f>IFERROR(LEFT('Apr 2026'!L48,FIND(" ",'Apr 2026'!L48)-1),"0")</f>
        <v>0</v>
      </c>
    </row>
    <row r="14" spans="1:10" ht="21.75" customHeight="1" x14ac:dyDescent="0.25">
      <c r="A14" s="4">
        <v>5</v>
      </c>
      <c r="B14" s="5" t="str">
        <f>IFERROR('May 2026'!C3&amp;" '"&amp;RIGHT('May 2026'!D3,2),"May 2026")</f>
        <v>May '26</v>
      </c>
      <c r="C14" s="6" t="str">
        <f>IFERROR('May 2026'!C4,"—")</f>
        <v>4:00 PM – 12:00 MN</v>
      </c>
      <c r="D14" s="7">
        <f>IFERROR('May 2026'!D48,0)</f>
        <v>0</v>
      </c>
      <c r="E14" s="7">
        <f>IFERROR('May 2026'!E48,0)</f>
        <v>0</v>
      </c>
      <c r="F14" s="7">
        <f>IFERROR('May 2026'!G48,0)</f>
        <v>432</v>
      </c>
      <c r="G14" s="7">
        <f>IFERROR('May 2026'!I48,0)</f>
        <v>0</v>
      </c>
      <c r="H14" s="8">
        <f>IFERROR('May 2026'!J48,0)</f>
        <v>432</v>
      </c>
      <c r="I14" s="9">
        <f>IFERROR('May 2026'!K48,0)</f>
        <v>25056</v>
      </c>
      <c r="J14" s="10" t="str">
        <f>IFERROR(LEFT('May 2026'!L48,FIND(" ",'May 2026'!L48)-1),"0")</f>
        <v>0</v>
      </c>
    </row>
    <row r="15" spans="1:10" ht="21.75" customHeight="1" x14ac:dyDescent="0.25">
      <c r="A15" s="11">
        <v>6</v>
      </c>
      <c r="B15" s="12" t="str">
        <f>IFERROR('Jun 2026'!C3&amp;" '"&amp;RIGHT('Jun 2026'!D3,2),"Jun 2026")</f>
        <v>June '26</v>
      </c>
      <c r="C15" s="13" t="str">
        <f>IFERROR('Jun 2026'!C4,"—")</f>
        <v>4:00 PM – 12:00 MN</v>
      </c>
      <c r="D15" s="14">
        <f>IFERROR('Jun 2026'!D48,0)</f>
        <v>0</v>
      </c>
      <c r="E15" s="14">
        <f>IFERROR('Jun 2026'!E48,0)</f>
        <v>0</v>
      </c>
      <c r="F15" s="14">
        <f>IFERROR('Jun 2026'!G48,0)</f>
        <v>416</v>
      </c>
      <c r="G15" s="14">
        <f>IFERROR('Jun 2026'!I48,0)</f>
        <v>0</v>
      </c>
      <c r="H15" s="15">
        <f>IFERROR('Jun 2026'!J48,0)</f>
        <v>416</v>
      </c>
      <c r="I15" s="16">
        <f>IFERROR('Jun 2026'!K48,0)</f>
        <v>24128</v>
      </c>
      <c r="J15" s="17" t="str">
        <f>IFERROR(LEFT('Jun 2026'!L48,FIND(" ",'Jun 2026'!L48)-1),"0")</f>
        <v>0</v>
      </c>
    </row>
    <row r="16" spans="1:10" ht="21.75" customHeight="1" x14ac:dyDescent="0.25">
      <c r="A16" s="4">
        <v>7</v>
      </c>
      <c r="B16" s="5" t="str">
        <f>IFERROR('Jul 2026'!C3&amp;" '"&amp;RIGHT('Jul 2026'!D3,2),"Jul 2026")</f>
        <v>July '26</v>
      </c>
      <c r="C16" s="6" t="str">
        <f>IFERROR('Jul 2026'!C4,"—")</f>
        <v>4:00 PM – 12:00 MN</v>
      </c>
      <c r="D16" s="7">
        <f>IFERROR('Jul 2026'!D48,0)</f>
        <v>0</v>
      </c>
      <c r="E16" s="7">
        <f>IFERROR('Jul 2026'!E48,0)</f>
        <v>0</v>
      </c>
      <c r="F16" s="7">
        <f>IFERROR('Jul 2026'!G48,0)</f>
        <v>416</v>
      </c>
      <c r="G16" s="7">
        <f>IFERROR('Jul 2026'!I48,0)</f>
        <v>0</v>
      </c>
      <c r="H16" s="8">
        <f>IFERROR('Jul 2026'!J48,0)</f>
        <v>416</v>
      </c>
      <c r="I16" s="9">
        <f>IFERROR('Jul 2026'!K48,0)</f>
        <v>24128</v>
      </c>
      <c r="J16" s="10" t="str">
        <f>IFERROR(LEFT('Jul 2026'!L48,FIND(" ",'Jul 2026'!L48)-1),"0")</f>
        <v>0</v>
      </c>
    </row>
    <row r="17" spans="1:10" ht="21.75" customHeight="1" x14ac:dyDescent="0.25">
      <c r="A17" s="11">
        <v>8</v>
      </c>
      <c r="B17" s="12" t="str">
        <f>IFERROR('Aug 2026'!C3&amp;" '"&amp;RIGHT('Aug 2026'!D3,2),"Aug 2026")</f>
        <v>August '26</v>
      </c>
      <c r="C17" s="13" t="str">
        <f>IFERROR('Aug 2026'!C4,"—")</f>
        <v>4:00 PM – 12:00 MN</v>
      </c>
      <c r="D17" s="14">
        <f>IFERROR('Aug 2026'!D56,0)</f>
        <v>0</v>
      </c>
      <c r="E17" s="14">
        <f>IFERROR('Aug 2026'!E56,0)</f>
        <v>0</v>
      </c>
      <c r="F17" s="14">
        <f>IFERROR('Aug 2026'!G56,0)</f>
        <v>432</v>
      </c>
      <c r="G17" s="14">
        <f>IFERROR('Aug 2026'!I56,0)</f>
        <v>0</v>
      </c>
      <c r="H17" s="15">
        <f>IFERROR('Aug 2026'!J56,0)</f>
        <v>432</v>
      </c>
      <c r="I17" s="16">
        <f>IFERROR('Aug 2026'!K56,0)</f>
        <v>25056</v>
      </c>
      <c r="J17" s="17" t="str">
        <f>IFERROR(LEFT('Aug 2026'!L56,FIND(" ",'Aug 2026'!L56)-1),"0")</f>
        <v>0</v>
      </c>
    </row>
    <row r="18" spans="1:10" ht="21.75" customHeight="1" x14ac:dyDescent="0.25">
      <c r="A18" s="4">
        <v>9</v>
      </c>
      <c r="B18" s="5" t="str">
        <f>IFERROR('Sep 2026'!C3&amp;" '"&amp;RIGHT('Sep 2026'!D3,2),"Sep 2026")</f>
        <v>September '26</v>
      </c>
      <c r="C18" s="6" t="str">
        <f>IFERROR('Sep 2026'!C4,"—")</f>
        <v>4:00 PM – 12:00 MN</v>
      </c>
      <c r="D18" s="7">
        <f>IFERROR('Sep 2026'!D48,0)</f>
        <v>0</v>
      </c>
      <c r="E18" s="7">
        <f>IFERROR('Sep 2026'!E48,0)</f>
        <v>0</v>
      </c>
      <c r="F18" s="7">
        <f>IFERROR('Sep 2026'!G48,0)</f>
        <v>416</v>
      </c>
      <c r="G18" s="7">
        <f>IFERROR('Sep 2026'!I48,0)</f>
        <v>0</v>
      </c>
      <c r="H18" s="8">
        <f>IFERROR('Sep 2026'!J48,0)</f>
        <v>416</v>
      </c>
      <c r="I18" s="9">
        <f>IFERROR('Sep 2026'!K48,0)</f>
        <v>24128</v>
      </c>
      <c r="J18" s="10" t="str">
        <f>IFERROR(LEFT('Sep 2026'!L48,FIND(" ",'Sep 2026'!L48)-1),"0")</f>
        <v>0</v>
      </c>
    </row>
    <row r="19" spans="1:10" ht="21.75" customHeight="1" x14ac:dyDescent="0.25">
      <c r="A19" s="11">
        <v>10</v>
      </c>
      <c r="B19" s="12" t="str">
        <f>IFERROR('Oct 2026'!C3&amp;" '"&amp;RIGHT('Oct 2026'!D3,2),"Oct 2026")</f>
        <v>October '26</v>
      </c>
      <c r="C19" s="13" t="str">
        <f>IFERROR('Oct 2026'!C4,"—")</f>
        <v>4:00 PM – 12:00 MN</v>
      </c>
      <c r="D19" s="14">
        <f>IFERROR('Oct 2026'!D48,0)</f>
        <v>0</v>
      </c>
      <c r="E19" s="14">
        <f>IFERROR('Oct 2026'!E48,0)</f>
        <v>0</v>
      </c>
      <c r="F19" s="14">
        <f>IFERROR('Oct 2026'!G48,0)</f>
        <v>416</v>
      </c>
      <c r="G19" s="14">
        <f>IFERROR('Oct 2026'!I48,0)</f>
        <v>0</v>
      </c>
      <c r="H19" s="15">
        <f>IFERROR('Oct 2026'!J48,0)</f>
        <v>416</v>
      </c>
      <c r="I19" s="16">
        <f>IFERROR('Oct 2026'!K48,0)</f>
        <v>24128</v>
      </c>
      <c r="J19" s="17" t="str">
        <f>IFERROR(LEFT('Oct 2026'!L48,FIND(" ",'Oct 2026'!L48)-1),"0")</f>
        <v>0</v>
      </c>
    </row>
    <row r="20" spans="1:10" ht="21.75" customHeight="1" x14ac:dyDescent="0.25">
      <c r="A20" s="4">
        <v>11</v>
      </c>
      <c r="B20" s="5" t="str">
        <f>IFERROR('Nov 2026'!C3&amp;" '"&amp;RIGHT('Nov 2026'!D3,2),"Nov 2026")</f>
        <v>November '26</v>
      </c>
      <c r="C20" s="6" t="str">
        <f>IFERROR('Nov 2026'!C4,"—")</f>
        <v>4:00 PM – 12:00 MN</v>
      </c>
      <c r="D20" s="7">
        <f>IFERROR('Nov 2026'!D56,0)</f>
        <v>0</v>
      </c>
      <c r="E20" s="7">
        <f>IFERROR('Nov 2026'!E56,0)</f>
        <v>0</v>
      </c>
      <c r="F20" s="7">
        <f>IFERROR('Nov 2026'!G56,0)</f>
        <v>416</v>
      </c>
      <c r="G20" s="7">
        <f>IFERROR('Nov 2026'!I56,0)</f>
        <v>0</v>
      </c>
      <c r="H20" s="8">
        <f>IFERROR('Nov 2026'!J56,0)</f>
        <v>416</v>
      </c>
      <c r="I20" s="9">
        <f>IFERROR('Nov 2026'!K56,0)</f>
        <v>24128</v>
      </c>
      <c r="J20" s="10" t="str">
        <f>IFERROR(LEFT('Nov 2026'!L56,FIND(" ",'Nov 2026'!L56)-1),"0")</f>
        <v>0</v>
      </c>
    </row>
    <row r="21" spans="1:10" ht="21.75" customHeight="1" x14ac:dyDescent="0.25">
      <c r="A21" s="11">
        <v>12</v>
      </c>
      <c r="B21" s="12" t="str">
        <f>IFERROR('Dec 2026'!C3&amp;" '"&amp;RIGHT('Dec 2026'!D3,2),"Dec 2026")</f>
        <v>December '26</v>
      </c>
      <c r="C21" s="13" t="str">
        <f>IFERROR('Dec 2026'!C4,"—")</f>
        <v>4:00 PM – 12:00 MN</v>
      </c>
      <c r="D21" s="14">
        <f>IFERROR('Dec 2026'!D48,0)</f>
        <v>0</v>
      </c>
      <c r="E21" s="14">
        <f>IFERROR('Dec 2026'!E48,0)</f>
        <v>0</v>
      </c>
      <c r="F21" s="14">
        <f>IFERROR('Dec 2026'!G48,0)</f>
        <v>416</v>
      </c>
      <c r="G21" s="14">
        <f>IFERROR('Dec 2026'!I48,0)</f>
        <v>0</v>
      </c>
      <c r="H21" s="15">
        <f>IFERROR('Dec 2026'!J48,0)</f>
        <v>416</v>
      </c>
      <c r="I21" s="16">
        <f>IFERROR('Dec 2026'!K48,0)</f>
        <v>24128</v>
      </c>
      <c r="J21" s="17" t="str">
        <f>IFERROR(LEFT('Dec 2026'!L48,FIND(" ",'Dec 2026'!L48)-1),"0")</f>
        <v>0</v>
      </c>
    </row>
    <row r="22" spans="1:10" ht="25.5" customHeight="1" x14ac:dyDescent="0.25">
      <c r="A22" s="74" t="s">
        <v>18</v>
      </c>
      <c r="B22" s="74"/>
      <c r="C22" s="74"/>
      <c r="D22" s="18">
        <f t="shared" ref="D22:J22" si="0">SUM(D10:D21)</f>
        <v>91</v>
      </c>
      <c r="E22" s="18">
        <f t="shared" si="0"/>
        <v>72.8</v>
      </c>
      <c r="F22" s="18">
        <f t="shared" si="0"/>
        <v>4976</v>
      </c>
      <c r="G22" s="18">
        <f t="shared" si="0"/>
        <v>2.1839999999999997</v>
      </c>
      <c r="H22" s="19">
        <f t="shared" si="0"/>
        <v>4978.1840000000002</v>
      </c>
      <c r="I22" s="20">
        <f t="shared" si="0"/>
        <v>288734.67200000002</v>
      </c>
      <c r="J22" s="21">
        <f t="shared" si="0"/>
        <v>0</v>
      </c>
    </row>
    <row r="24" spans="1:10" ht="25.5" customHeight="1" x14ac:dyDescent="0.25">
      <c r="A24" s="73" t="s">
        <v>19</v>
      </c>
      <c r="B24" s="73"/>
      <c r="C24" s="73"/>
      <c r="D24" s="73"/>
      <c r="E24" s="73"/>
      <c r="F24" s="73"/>
      <c r="G24" s="73"/>
      <c r="H24" s="73"/>
      <c r="I24" s="73"/>
      <c r="J24" s="73"/>
    </row>
    <row r="25" spans="1:10" ht="21.75" customHeight="1" x14ac:dyDescent="0.25">
      <c r="A25" s="1" t="s">
        <v>8</v>
      </c>
      <c r="B25" s="1" t="s">
        <v>9</v>
      </c>
      <c r="C25" s="1" t="s">
        <v>10</v>
      </c>
      <c r="D25" s="1" t="s">
        <v>11</v>
      </c>
      <c r="E25" s="1" t="s">
        <v>12</v>
      </c>
      <c r="F25" s="1" t="s">
        <v>13</v>
      </c>
      <c r="G25" s="1" t="s">
        <v>14</v>
      </c>
      <c r="H25" s="1" t="s">
        <v>15</v>
      </c>
      <c r="I25" s="1" t="s">
        <v>16</v>
      </c>
      <c r="J25" s="1" t="s">
        <v>17</v>
      </c>
    </row>
    <row r="26" spans="1:10" ht="21.75" customHeight="1" x14ac:dyDescent="0.25">
      <c r="A26" s="4">
        <v>1</v>
      </c>
      <c r="B26" s="5" t="str">
        <f>IFERROR('Jan 2027'!C3&amp;" '"&amp;RIGHT('Jan 2027'!D3,2),"Jan 2027")</f>
        <v>January '27</v>
      </c>
      <c r="C26" s="6" t="str">
        <f>IFERROR('Jan 2027'!C4,"—")</f>
        <v>4:00 PM – 12:00 MN</v>
      </c>
      <c r="D26" s="7">
        <f>IFERROR('Jan 2027'!D48,0)</f>
        <v>0</v>
      </c>
      <c r="E26" s="7">
        <f>IFERROR('Jan 2027'!E48,0)</f>
        <v>0</v>
      </c>
      <c r="F26" s="7">
        <f>IFERROR('Jan 2027'!G48,0)</f>
        <v>432</v>
      </c>
      <c r="G26" s="7">
        <f>IFERROR('Jan 2027'!I48,0)</f>
        <v>0</v>
      </c>
      <c r="H26" s="8">
        <f>IFERROR('Jan 2027'!J48,0)</f>
        <v>432</v>
      </c>
      <c r="I26" s="9">
        <f>IFERROR('Jan 2027'!K48,0)</f>
        <v>25056</v>
      </c>
      <c r="J26" s="10" t="str">
        <f>IFERROR(LEFT('Jan 2027'!L48,FIND(" ",'Jan 2027'!L48)-1),"0")</f>
        <v>0</v>
      </c>
    </row>
    <row r="27" spans="1:10" ht="21.75" customHeight="1" x14ac:dyDescent="0.25">
      <c r="A27" s="11">
        <v>2</v>
      </c>
      <c r="B27" s="12" t="str">
        <f>IFERROR('Feb 2027'!C3&amp;" '"&amp;RIGHT('Feb 2027'!D3,2),"Feb 2027")</f>
        <v>February '27</v>
      </c>
      <c r="C27" s="13" t="str">
        <f>IFERROR('Feb 2027'!C4,"—")</f>
        <v>4:00 PM – 12:00 MN</v>
      </c>
      <c r="D27" s="14">
        <f>IFERROR('Feb 2027'!D40,0)</f>
        <v>0</v>
      </c>
      <c r="E27" s="14">
        <f>IFERROR('Feb 2027'!E40,0)</f>
        <v>0</v>
      </c>
      <c r="F27" s="14">
        <f>IFERROR('Feb 2027'!G40,0)</f>
        <v>384</v>
      </c>
      <c r="G27" s="14">
        <f>IFERROR('Feb 2027'!I40,0)</f>
        <v>0</v>
      </c>
      <c r="H27" s="15">
        <f>IFERROR('Feb 2027'!J40,0)</f>
        <v>384</v>
      </c>
      <c r="I27" s="16">
        <f>IFERROR('Feb 2027'!K40,0)</f>
        <v>22272</v>
      </c>
      <c r="J27" s="17" t="str">
        <f>IFERROR(LEFT('Feb 2027'!L40,FIND(" ",'Feb 2027'!L40)-1),"0")</f>
        <v>0</v>
      </c>
    </row>
    <row r="28" spans="1:10" ht="21.75" customHeight="1" x14ac:dyDescent="0.25">
      <c r="A28" s="4">
        <v>3</v>
      </c>
      <c r="B28" s="5" t="str">
        <f>IFERROR('Mar 2027'!C3&amp;" '"&amp;RIGHT('Mar 2027'!D3,2),"Mar 2027")</f>
        <v>March '27</v>
      </c>
      <c r="C28" s="6" t="str">
        <f>IFERROR('Mar 2027'!C4,"—")</f>
        <v>4:00 PM – 12:00 MN</v>
      </c>
      <c r="D28" s="7">
        <f>IFERROR('Mar 2027'!D48,0)</f>
        <v>0</v>
      </c>
      <c r="E28" s="7">
        <f>IFERROR('Mar 2027'!E48,0)</f>
        <v>0</v>
      </c>
      <c r="F28" s="7">
        <f>IFERROR('Mar 2027'!G48,0)</f>
        <v>432</v>
      </c>
      <c r="G28" s="7">
        <f>IFERROR('Mar 2027'!I48,0)</f>
        <v>0</v>
      </c>
      <c r="H28" s="8">
        <f>IFERROR('Mar 2027'!J48,0)</f>
        <v>432</v>
      </c>
      <c r="I28" s="9">
        <f>IFERROR('Mar 2027'!K48,0)</f>
        <v>25056</v>
      </c>
      <c r="J28" s="10" t="str">
        <f>IFERROR(LEFT('Mar 2027'!L48,FIND(" ",'Mar 2027'!L48)-1),"0")</f>
        <v>0</v>
      </c>
    </row>
    <row r="29" spans="1:10" ht="21.75" customHeight="1" x14ac:dyDescent="0.25">
      <c r="A29" s="11">
        <v>4</v>
      </c>
      <c r="B29" s="12" t="str">
        <f>IFERROR('Apr 2027'!C3&amp;" '"&amp;RIGHT('Apr 2027'!D3,2),"Apr 2027")</f>
        <v>April '27</v>
      </c>
      <c r="C29" s="13" t="str">
        <f>IFERROR('Apr 2027'!C4,"—")</f>
        <v>4:00 PM – 12:00 MN</v>
      </c>
      <c r="D29" s="14">
        <f>IFERROR('Apr 2027'!D48,0)</f>
        <v>0</v>
      </c>
      <c r="E29" s="14">
        <f>IFERROR('Apr 2027'!E48,0)</f>
        <v>0</v>
      </c>
      <c r="F29" s="14">
        <f>IFERROR('Apr 2027'!G48,0)</f>
        <v>400</v>
      </c>
      <c r="G29" s="14">
        <f>IFERROR('Apr 2027'!I48,0)</f>
        <v>0</v>
      </c>
      <c r="H29" s="15">
        <f>IFERROR('Apr 2027'!J48,0)</f>
        <v>400</v>
      </c>
      <c r="I29" s="16">
        <f>IFERROR('Apr 2027'!K48,0)</f>
        <v>23200</v>
      </c>
      <c r="J29" s="17" t="str">
        <f>IFERROR(LEFT('Apr 2027'!L48,FIND(" ",'Apr 2027'!L48)-1),"0")</f>
        <v>0</v>
      </c>
    </row>
    <row r="30" spans="1:10" ht="21.75" customHeight="1" x14ac:dyDescent="0.25">
      <c r="A30" s="4">
        <v>5</v>
      </c>
      <c r="B30" s="5" t="str">
        <f>IFERROR('May 2027'!C3&amp;" '"&amp;RIGHT('May 2027'!D3,2),"May 2027")</f>
        <v>May '27</v>
      </c>
      <c r="C30" s="6" t="str">
        <f>IFERROR('May 2027'!C4,"—")</f>
        <v>4:00 PM – 12:00 MN</v>
      </c>
      <c r="D30" s="7">
        <f>IFERROR('May 2027'!D56,0)</f>
        <v>0</v>
      </c>
      <c r="E30" s="7">
        <f>IFERROR('May 2027'!E56,0)</f>
        <v>0</v>
      </c>
      <c r="F30" s="7">
        <f>IFERROR('May 2027'!G56,0)</f>
        <v>432</v>
      </c>
      <c r="G30" s="7">
        <f>IFERROR('May 2027'!I56,0)</f>
        <v>0</v>
      </c>
      <c r="H30" s="8">
        <f>IFERROR('May 2027'!J56,0)</f>
        <v>432</v>
      </c>
      <c r="I30" s="9">
        <f>IFERROR('May 2027'!K56,0)</f>
        <v>25056</v>
      </c>
      <c r="J30" s="10" t="str">
        <f>IFERROR(LEFT('May 2027'!L56,FIND(" ",'May 2027'!L56)-1),"0")</f>
        <v>0</v>
      </c>
    </row>
    <row r="31" spans="1:10" ht="21.75" customHeight="1" x14ac:dyDescent="0.25">
      <c r="A31" s="11">
        <v>6</v>
      </c>
      <c r="B31" s="12" t="str">
        <f>IFERROR('Jun 2027'!C3&amp;" '"&amp;RIGHT('Jun 2027'!D3,2),"Jun 2027")</f>
        <v>June '27</v>
      </c>
      <c r="C31" s="13" t="str">
        <f>IFERROR('Jun 2027'!C4,"—")</f>
        <v>4:00 PM – 12:00 MN</v>
      </c>
      <c r="D31" s="14">
        <f>IFERROR('Jun 2027'!D48,0)</f>
        <v>0</v>
      </c>
      <c r="E31" s="14">
        <f>IFERROR('Jun 2027'!E48,0)</f>
        <v>0</v>
      </c>
      <c r="F31" s="14">
        <f>IFERROR('Jun 2027'!G48,0)</f>
        <v>416</v>
      </c>
      <c r="G31" s="14">
        <f>IFERROR('Jun 2027'!I48,0)</f>
        <v>0</v>
      </c>
      <c r="H31" s="15">
        <f>IFERROR('Jun 2027'!J48,0)</f>
        <v>416</v>
      </c>
      <c r="I31" s="16">
        <f>IFERROR('Jun 2027'!K48,0)</f>
        <v>24128</v>
      </c>
      <c r="J31" s="17" t="str">
        <f>IFERROR(LEFT('Jun 2027'!L48,FIND(" ",'Jun 2027'!L48)-1),"0")</f>
        <v>0</v>
      </c>
    </row>
    <row r="32" spans="1:10" ht="21.75" customHeight="1" x14ac:dyDescent="0.25">
      <c r="A32" s="4">
        <v>7</v>
      </c>
      <c r="B32" s="5" t="str">
        <f>IFERROR('Jul 2027'!C3&amp;" '"&amp;RIGHT('Jul 2027'!D3,2),"Jul 2027")</f>
        <v>July '27</v>
      </c>
      <c r="C32" s="6" t="str">
        <f>IFERROR('Jul 2027'!C4,"—")</f>
        <v>4:00 PM – 12:00 MN</v>
      </c>
      <c r="D32" s="7">
        <f>IFERROR('Jul 2027'!D48,0)</f>
        <v>0</v>
      </c>
      <c r="E32" s="7">
        <f>IFERROR('Jul 2027'!E48,0)</f>
        <v>0</v>
      </c>
      <c r="F32" s="7">
        <f>IFERROR('Jul 2027'!G48,0)</f>
        <v>416</v>
      </c>
      <c r="G32" s="7">
        <f>IFERROR('Jul 2027'!I48,0)</f>
        <v>0</v>
      </c>
      <c r="H32" s="8">
        <f>IFERROR('Jul 2027'!J48,0)</f>
        <v>416</v>
      </c>
      <c r="I32" s="9">
        <f>IFERROR('Jul 2027'!K48,0)</f>
        <v>24128</v>
      </c>
      <c r="J32" s="10" t="str">
        <f>IFERROR(LEFT('Jul 2027'!L48,FIND(" ",'Jul 2027'!L48)-1),"0")</f>
        <v>0</v>
      </c>
    </row>
    <row r="33" spans="1:10" ht="21.75" customHeight="1" x14ac:dyDescent="0.25">
      <c r="A33" s="11">
        <v>8</v>
      </c>
      <c r="B33" s="12" t="str">
        <f>IFERROR('Aug 2027'!C3&amp;" '"&amp;RIGHT('Aug 2027'!D3,2),"Aug 2027")</f>
        <v>August '27</v>
      </c>
      <c r="C33" s="13" t="str">
        <f>IFERROR('Aug 2027'!C4,"—")</f>
        <v>4:00 PM – 12:00 MN</v>
      </c>
      <c r="D33" s="14">
        <f>IFERROR('Aug 2027'!D56,0)</f>
        <v>0</v>
      </c>
      <c r="E33" s="14">
        <f>IFERROR('Aug 2027'!E56,0)</f>
        <v>0</v>
      </c>
      <c r="F33" s="14">
        <f>IFERROR('Aug 2027'!G56,0)</f>
        <v>432</v>
      </c>
      <c r="G33" s="14">
        <f>IFERROR('Aug 2027'!I56,0)</f>
        <v>0</v>
      </c>
      <c r="H33" s="15">
        <f>IFERROR('Aug 2027'!J56,0)</f>
        <v>432</v>
      </c>
      <c r="I33" s="16">
        <f>IFERROR('Aug 2027'!K56,0)</f>
        <v>25056</v>
      </c>
      <c r="J33" s="17" t="str">
        <f>IFERROR(LEFT('Aug 2027'!L56,FIND(" ",'Aug 2027'!L56)-1),"0")</f>
        <v>0</v>
      </c>
    </row>
    <row r="34" spans="1:10" ht="21.75" customHeight="1" x14ac:dyDescent="0.25">
      <c r="A34" s="4">
        <v>9</v>
      </c>
      <c r="B34" s="5" t="str">
        <f>IFERROR('Sep 2027'!C3&amp;" '"&amp;RIGHT('Sep 2027'!D3,2),"Sep 2027")</f>
        <v>September '27</v>
      </c>
      <c r="C34" s="6" t="str">
        <f>IFERROR('Sep 2027'!C4,"—")</f>
        <v>4:00 PM – 12:00 MN</v>
      </c>
      <c r="D34" s="7">
        <f>IFERROR('Sep 2027'!D48,0)</f>
        <v>0</v>
      </c>
      <c r="E34" s="7">
        <f>IFERROR('Sep 2027'!E48,0)</f>
        <v>0</v>
      </c>
      <c r="F34" s="7">
        <f>IFERROR('Sep 2027'!G48,0)</f>
        <v>400</v>
      </c>
      <c r="G34" s="7">
        <f>IFERROR('Sep 2027'!I48,0)</f>
        <v>0</v>
      </c>
      <c r="H34" s="8">
        <f>IFERROR('Sep 2027'!J48,0)</f>
        <v>400</v>
      </c>
      <c r="I34" s="9">
        <f>IFERROR('Sep 2027'!K48,0)</f>
        <v>23200</v>
      </c>
      <c r="J34" s="10" t="str">
        <f>IFERROR(LEFT('Sep 2027'!L48,FIND(" ",'Sep 2027'!L48)-1),"0")</f>
        <v>0</v>
      </c>
    </row>
    <row r="35" spans="1:10" ht="21.75" customHeight="1" x14ac:dyDescent="0.25">
      <c r="A35" s="11">
        <v>10</v>
      </c>
      <c r="B35" s="12" t="str">
        <f>IFERROR('Oct 2027'!C3&amp;" '"&amp;RIGHT('Oct 2027'!D3,2),"Oct 2027")</f>
        <v>October '27</v>
      </c>
      <c r="C35" s="13" t="str">
        <f>IFERROR('Oct 2027'!C4,"—")</f>
        <v>4:00 PM – 12:00 MN</v>
      </c>
      <c r="D35" s="14">
        <f>IFERROR('Oct 2027'!D48,0)</f>
        <v>0</v>
      </c>
      <c r="E35" s="14">
        <f>IFERROR('Oct 2027'!E48,0)</f>
        <v>0</v>
      </c>
      <c r="F35" s="14">
        <f>IFERROR('Oct 2027'!G48,0)</f>
        <v>432</v>
      </c>
      <c r="G35" s="14">
        <f>IFERROR('Oct 2027'!I48,0)</f>
        <v>0</v>
      </c>
      <c r="H35" s="15">
        <f>IFERROR('Oct 2027'!J48,0)</f>
        <v>432</v>
      </c>
      <c r="I35" s="16">
        <f>IFERROR('Oct 2027'!K48,0)</f>
        <v>25056</v>
      </c>
      <c r="J35" s="17" t="str">
        <f>IFERROR(LEFT('Oct 2027'!L48,FIND(" ",'Oct 2027'!L48)-1),"0")</f>
        <v>0</v>
      </c>
    </row>
    <row r="36" spans="1:10" ht="21.75" customHeight="1" x14ac:dyDescent="0.25">
      <c r="A36" s="4">
        <v>11</v>
      </c>
      <c r="B36" s="5" t="str">
        <f>IFERROR('Nov 2027'!C3&amp;" '"&amp;RIGHT('Nov 2027'!D3,2),"Nov 2027")</f>
        <v>November '27</v>
      </c>
      <c r="C36" s="6" t="str">
        <f>IFERROR('Nov 2027'!C4,"—")</f>
        <v>4:00 PM – 12:00 MN</v>
      </c>
      <c r="D36" s="7">
        <f>IFERROR('Nov 2027'!D48,0)</f>
        <v>0</v>
      </c>
      <c r="E36" s="7">
        <f>IFERROR('Nov 2027'!E48,0)</f>
        <v>0</v>
      </c>
      <c r="F36" s="7">
        <f>IFERROR('Nov 2027'!G48,0)</f>
        <v>416</v>
      </c>
      <c r="G36" s="7">
        <f>IFERROR('Nov 2027'!I48,0)</f>
        <v>0</v>
      </c>
      <c r="H36" s="8">
        <f>IFERROR('Nov 2027'!J48,0)</f>
        <v>416</v>
      </c>
      <c r="I36" s="9">
        <f>IFERROR('Nov 2027'!K48,0)</f>
        <v>24128</v>
      </c>
      <c r="J36" s="10" t="str">
        <f>IFERROR(LEFT('Nov 2027'!L48,FIND(" ",'Nov 2027'!L48)-1),"0")</f>
        <v>0</v>
      </c>
    </row>
    <row r="37" spans="1:10" ht="21.75" customHeight="1" x14ac:dyDescent="0.25">
      <c r="A37" s="11">
        <v>12</v>
      </c>
      <c r="B37" s="12" t="str">
        <f>IFERROR('Dec 2027'!C3&amp;" '"&amp;RIGHT('Dec 2027'!D3,2),"Dec 2027")</f>
        <v>December '27</v>
      </c>
      <c r="C37" s="13" t="str">
        <f>IFERROR('Dec 2027'!C4,"—")</f>
        <v>4:00 PM – 12:00 MN</v>
      </c>
      <c r="D37" s="14">
        <f>IFERROR('Dec 2027'!D48,0)</f>
        <v>0</v>
      </c>
      <c r="E37" s="14">
        <f>IFERROR('Dec 2027'!E48,0)</f>
        <v>0</v>
      </c>
      <c r="F37" s="14">
        <f>IFERROR('Dec 2027'!G48,0)</f>
        <v>416</v>
      </c>
      <c r="G37" s="14">
        <f>IFERROR('Dec 2027'!I48,0)</f>
        <v>0</v>
      </c>
      <c r="H37" s="15">
        <f>IFERROR('Dec 2027'!J48,0)</f>
        <v>416</v>
      </c>
      <c r="I37" s="16">
        <f>IFERROR('Dec 2027'!K48,0)</f>
        <v>24128</v>
      </c>
      <c r="J37" s="17" t="str">
        <f>IFERROR(LEFT('Dec 2027'!L48,FIND(" ",'Dec 2027'!L48)-1),"0")</f>
        <v>0</v>
      </c>
    </row>
    <row r="38" spans="1:10" ht="25.5" customHeight="1" x14ac:dyDescent="0.25">
      <c r="A38" s="74" t="s">
        <v>20</v>
      </c>
      <c r="B38" s="74"/>
      <c r="C38" s="74"/>
      <c r="D38" s="18">
        <f t="shared" ref="D38:J38" si="1">SUM(D26:D37)</f>
        <v>0</v>
      </c>
      <c r="E38" s="18">
        <f t="shared" si="1"/>
        <v>0</v>
      </c>
      <c r="F38" s="18">
        <f t="shared" si="1"/>
        <v>5008</v>
      </c>
      <c r="G38" s="18">
        <f t="shared" si="1"/>
        <v>0</v>
      </c>
      <c r="H38" s="19">
        <f t="shared" si="1"/>
        <v>5008</v>
      </c>
      <c r="I38" s="20">
        <f t="shared" si="1"/>
        <v>290464</v>
      </c>
      <c r="J38" s="21">
        <f t="shared" si="1"/>
        <v>0</v>
      </c>
    </row>
  </sheetData>
  <mergeCells count="11">
    <mergeCell ref="A8:J8"/>
    <mergeCell ref="A22:C22"/>
    <mergeCell ref="A24:J24"/>
    <mergeCell ref="A38:C38"/>
    <mergeCell ref="A1:J1"/>
    <mergeCell ref="A2:J2"/>
    <mergeCell ref="A4:J4"/>
    <mergeCell ref="A5:J5"/>
    <mergeCell ref="A6:C6"/>
    <mergeCell ref="D6:F6"/>
    <mergeCell ref="G6:I6"/>
  </mergeCells>
  <conditionalFormatting sqref="H11:H21">
    <cfRule type="expression" dxfId="147" priority="2">
      <formula>H11&gt;H10</formula>
    </cfRule>
    <cfRule type="expression" dxfId="146" priority="3">
      <formula>H11&lt;H10</formula>
    </cfRule>
  </conditionalFormatting>
  <conditionalFormatting sqref="H27:H37">
    <cfRule type="expression" dxfId="145" priority="24">
      <formula>H27&gt;H26</formula>
    </cfRule>
    <cfRule type="expression" dxfId="144" priority="25">
      <formula>H27&lt;H26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"/>
  <sheetViews>
    <sheetView showGridLines="0" zoomScaleNormal="100" workbookViewId="0">
      <pane ySplit="7" topLeftCell="A11" activePane="bottomLeft" state="frozen"/>
      <selection pane="bottomLeft" activeCell="T14" sqref="T14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23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416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416</v>
      </c>
      <c r="K5" s="24">
        <f>SUMIFS(K8:K42,K8:K42,"&lt;&gt;0",C8:C42,"&lt;&gt;Thursday",C8:C42,"&lt;&gt;",L8:L42,"&lt;&gt;Absent")</f>
        <v>24128</v>
      </c>
      <c r="L5" s="69" t="str">
        <f>COUNTIF(L8:L42,"✓")&amp;" / "&amp;COUNTIFS(C8:C42,"&lt;&gt;Thursday",C8:C42,"&lt;&gt;",L8:L42,"&lt;&gt;Absent")&amp;" days goal hit"</f>
        <v>0 / 30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480</v>
      </c>
      <c r="J6" s="63">
        <f>IFERROR(I6*L3,0)</f>
        <v>27840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46023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2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46024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3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46025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4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46026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5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46027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6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46028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7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46029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46030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9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46031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10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46032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11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46033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12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46034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13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46035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14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46036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46037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16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46038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17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46039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18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46040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19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46041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20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46042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21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46043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46044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23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46045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24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46046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25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46047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26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46048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27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46049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28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46050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46051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30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46052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31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46053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Jan 4)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48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48</v>
      </c>
      <c r="K43" s="50">
        <f>SUMIFS(K8:K14,C8:C14,"&lt;&gt;Thursday",C8:C14,"&lt;&gt;",L8:L14,"&lt;&gt;Absent")</f>
        <v>2784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Jan 5 – Sun Jan 11)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Jan 12 – Sun Jan 18)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Jan 19 – Sun Jan 25)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Jan 26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80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80</v>
      </c>
      <c r="K47" s="50">
        <f>SUMIFS(K36:K42,C36:C42,"&lt;&gt;Thursday",C36:C42,"&lt;&gt;",L36:L42,"&lt;&gt;Absent")</f>
        <v>4640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January 2026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416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416</v>
      </c>
      <c r="K48" s="57">
        <f>SUMIFS(K8:K42,C8:C42,"&lt;&gt;Thursday",C8:C42,"&lt;&gt;",L8:L42,"&lt;&gt;Absent")</f>
        <v>24128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143" priority="2">
      <formula>$B8=TODAY()</formula>
    </cfRule>
    <cfRule type="expression" dxfId="142" priority="3">
      <formula>$L8="Absent"</formula>
    </cfRule>
  </conditionalFormatting>
  <conditionalFormatting sqref="D8:M42">
    <cfRule type="expression" dxfId="141" priority="10">
      <formula>AND($E8&gt;=1000,$C8&lt;&gt;"",$C8&lt;&gt;"Thursday",$L8&lt;&gt;"Absent")</formula>
    </cfRule>
    <cfRule type="expression" dxfId="140" priority="11">
      <formula>AND($E8&gt;=500,$E8&lt;1000,$C8&lt;&gt;"",$C8&lt;&gt;"Thursday",$L8&lt;&gt;"Absent")</formula>
    </cfRule>
  </conditionalFormatting>
  <conditionalFormatting sqref="L8:L42">
    <cfRule type="expression" dxfId="139" priority="44">
      <formula>AND($J8&gt;=$J$3,$C8&lt;&gt;"Thursday",$C8&lt;&gt;"",$L8&lt;&gt;"Absent")</formula>
    </cfRule>
    <cfRule type="expression" dxfId="138" priority="45">
      <formula>AND($J8&lt;$J$3,$C8&lt;&gt;"Thursday",$C8&lt;&gt;"",$L8&lt;&gt;"Absent")</formula>
    </cfRule>
  </conditionalFormatting>
  <dataValidations count="4">
    <dataValidation type="list" sqref="C3" xr:uid="{00000000-0002-0000-0100-000000000000}">
      <formula1>"January,February,March,April,May,June,July,August,September,October,November,December"</formula1>
      <formula2>0</formula2>
    </dataValidation>
    <dataValidation type="list" sqref="D3" xr:uid="{00000000-0002-0000-0100-000001000000}">
      <formula1>"2025,2026,2027,2028,2029,2030"</formula1>
      <formula2>0</formula2>
    </dataValidation>
    <dataValidation type="list" sqref="C4" xr:uid="{00000000-0002-0000-0100-000002000000}">
      <formula1>"12:00 MN – 8:00 AM,8:00 AM – 4:00 PM,4:00 PM – 12:00 MN"</formula1>
      <formula2>0</formula2>
    </dataValidation>
    <dataValidation type="list" allowBlank="1" showInputMessage="1" promptTitle="Status" prompt="Leave blank for a normal work day. Select &quot;Absent&quot; to exclude this day from salary calculations." sqref="L8:L42" xr:uid="{00000000-0002-0000-0100-000003000000}">
      <formula1>"Absent"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49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384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384</v>
      </c>
      <c r="K5" s="24">
        <f>SUMIFS(K8:K42,K8:K42,"&lt;&gt;0",C8:C42,"&lt;&gt;Thursday",C8:C42,"&lt;&gt;",L8:L42,"&lt;&gt;Absent")</f>
        <v>22272</v>
      </c>
      <c r="L5" s="69" t="str">
        <f>COUNTIF(L8:L42,"✓")&amp;" / "&amp;COUNTIFS(C8:C42,"&lt;&gt;Thursday",C8:C42,"&lt;&gt;",L8:L42,"&lt;&gt;Absent")&amp;" days goal hit"</f>
        <v>0 / 31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496</v>
      </c>
      <c r="J6" s="63">
        <f>IFERROR(I6*L3,0)</f>
        <v>28768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hidden="1" customHeight="1" x14ac:dyDescent="0.25">
      <c r="A1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/>
      </c>
      <c r="B1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/>
      </c>
      <c r="C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/>
      </c>
      <c r="D11" s="32">
        <v>0</v>
      </c>
      <c r="E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/>
      </c>
      <c r="I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34"/>
      <c r="M11" s="35"/>
    </row>
    <row r="12" spans="1:13" ht="21.75" hidden="1" customHeight="1" x14ac:dyDescent="0.25">
      <c r="A1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/>
      </c>
      <c r="B1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/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/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0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0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/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0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0</v>
      </c>
      <c r="L12" s="34"/>
      <c r="M12" s="35"/>
    </row>
    <row r="13" spans="1:13" ht="21.75" hidden="1" customHeight="1" x14ac:dyDescent="0.25">
      <c r="A13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/>
      </c>
      <c r="B13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/>
      </c>
      <c r="C13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/>
      </c>
      <c r="D13" s="32">
        <v>0</v>
      </c>
      <c r="E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0</v>
      </c>
      <c r="G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0</v>
      </c>
      <c r="H13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/>
      </c>
      <c r="I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0</v>
      </c>
      <c r="K13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0</v>
      </c>
      <c r="L13" s="34"/>
      <c r="M13" s="35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1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46054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2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46055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3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46056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4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46057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46058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6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46059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7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46060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8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46061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9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46062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10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46063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11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46064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46065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13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46066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14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46067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15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46068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16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46069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17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46070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18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46071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46072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20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46073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21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46074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22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46075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23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46076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24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46077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25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46078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46079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27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46080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28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46081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Feb 1)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16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16</v>
      </c>
      <c r="K43" s="50">
        <f>SUMIFS(K8:K14,C8:C14,"&lt;&gt;Thursday",C8:C14,"&lt;&gt;",L8:L14,"&lt;&gt;Absent")</f>
        <v>928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Feb 2 – Sun Feb 8)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Feb 9 – Sun Feb 15)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Feb 16 – Sun Feb 22)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Feb 23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80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80</v>
      </c>
      <c r="K47" s="50">
        <f>SUMIFS(K36:K42,C36:C42,"&lt;&gt;Thursday",C36:C42,"&lt;&gt;",L36:L42,"&lt;&gt;Absent")</f>
        <v>4640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February 2026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384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384</v>
      </c>
      <c r="K48" s="57">
        <f>SUMIFS(K8:K42,C8:C42,"&lt;&gt;Thursday",C8:C42,"&lt;&gt;",L8:L42,"&lt;&gt;Absent")</f>
        <v>22272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137" priority="2">
      <formula>$B8=TODAY()</formula>
    </cfRule>
    <cfRule type="expression" dxfId="136" priority="3">
      <formula>$L8="Absent"</formula>
    </cfRule>
  </conditionalFormatting>
  <conditionalFormatting sqref="D8:M42">
    <cfRule type="expression" dxfId="135" priority="10">
      <formula>AND($E8&gt;=1000,$C8&lt;&gt;"",$C8&lt;&gt;"Thursday",$L8&lt;&gt;"Absent")</formula>
    </cfRule>
    <cfRule type="expression" dxfId="134" priority="11">
      <formula>AND($E8&gt;=500,$E8&lt;1000,$C8&lt;&gt;"",$C8&lt;&gt;"Thursday",$L8&lt;&gt;"Absent")</formula>
    </cfRule>
  </conditionalFormatting>
  <conditionalFormatting sqref="L8:L42">
    <cfRule type="expression" dxfId="133" priority="44">
      <formula>AND($J8&gt;=$J$3,$C8&lt;&gt;"Thursday",$C8&lt;&gt;"",$L8&lt;&gt;"Absent")</formula>
    </cfRule>
    <cfRule type="expression" dxfId="132" priority="45">
      <formula>AND($J8&lt;$J$3,$C8&lt;&gt;"Thursday",$C8&lt;&gt;"",$L8&lt;&gt;"Absent")</formula>
    </cfRule>
  </conditionalFormatting>
  <dataValidations count="4">
    <dataValidation type="list" sqref="C3" xr:uid="{00000000-0002-0000-0200-000000000000}">
      <formula1>"January,February,March,April,May,June,July,August,September,October,November,December"</formula1>
      <formula2>0</formula2>
    </dataValidation>
    <dataValidation type="list" sqref="D3" xr:uid="{00000000-0002-0000-0200-000001000000}">
      <formula1>"2025,2026,2027,2028,2029,2030"</formula1>
      <formula2>0</formula2>
    </dataValidation>
    <dataValidation type="list" sqref="C4" xr:uid="{00000000-0002-0000-0200-000002000000}">
      <formula1>"12:00 MN – 8:00 AM,8:00 AM – 4:00 PM,4:00 PM – 12:00 MN"</formula1>
      <formula2>0</formula2>
    </dataValidation>
    <dataValidation type="list" allowBlank="1" showInputMessage="1" promptTitle="Status" prompt="Leave blank for a normal work day. Select &quot;Absent&quot; to exclude this day from salary calculations." sqref="L8:L42" xr:uid="{00000000-0002-0000-0200-000003000000}">
      <formula1>"Absent"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"/>
  <sheetViews>
    <sheetView showGridLines="0" tabSelected="1" zoomScaleNormal="100" workbookViewId="0">
      <pane ySplit="7" topLeftCell="A36" activePane="bottomLeft" state="frozen"/>
      <selection pane="bottomLeft" activeCell="Q41" sqref="Q41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50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SUMIFS(D8:D49,D8:D49,"&lt;&gt;0",C8:C49,"&lt;&gt;Thursday",C8:C49,"&lt;&gt;",L8:L49,"&lt;&gt;Absent")</f>
        <v>91</v>
      </c>
      <c r="E5" s="24">
        <f>SUMIFS(E8:E49,E8:E49,"&lt;&gt;0",C8:C49,"&lt;&gt;Thursday",C8:C49,"&lt;&gt;",L8:L49,"&lt;&gt;Absent")</f>
        <v>72.8</v>
      </c>
      <c r="F5" s="25"/>
      <c r="G5" s="24">
        <f>SUMIFS(G8:G49,G8:G49,"&lt;&gt;0",C8:C49,"&lt;&gt;Thursday",C8:C49,"&lt;&gt;",L8:L49,"&lt;&gt;Absent")</f>
        <v>416</v>
      </c>
      <c r="H5" s="25"/>
      <c r="I5" s="24">
        <f>SUMIFS(I8:I49,I8:I49,"&lt;&gt;0",C8:C49,"&lt;&gt;Thursday",C8:C49,"&lt;&gt;",L8:L49,"&lt;&gt;Absent")</f>
        <v>2.1839999999999997</v>
      </c>
      <c r="J5" s="24">
        <f>SUMIFS(J8:J49,J8:J49,"&lt;&gt;0",C8:C49,"&lt;&gt;Thursday",C8:C49,"&lt;&gt;",L8:L49,"&lt;&gt;Absent")</f>
        <v>418.18400000000003</v>
      </c>
      <c r="K5" s="24">
        <f>SUMIFS(K8:K49,K8:K49,"&lt;&gt;0",C8:C49,"&lt;&gt;Thursday",C8:C49,"&lt;&gt;",L8:L49,"&lt;&gt;Absent")</f>
        <v>24254.671999999999</v>
      </c>
      <c r="L5" s="69" t="str">
        <f>COUNTIF(L8:L49,"✓")&amp;" / "&amp;COUNTIFS(C8:C49,"&lt;&gt;Thursday",C8:C49,"&lt;&gt;",L8:L49,"&lt;&gt;Absent")&amp;" days goal hit"</f>
        <v>0 / 37 days goal hit</v>
      </c>
      <c r="M5" s="69"/>
    </row>
    <row r="6" spans="1:13" ht="21.75" customHeight="1" x14ac:dyDescent="0.25">
      <c r="A6" s="61" t="s">
        <v>33</v>
      </c>
      <c r="B6" s="61"/>
      <c r="C6" s="61"/>
      <c r="D6" s="26">
        <f>IF(MAX(D8:D49)=0,"—",MAX(D8:D49))</f>
        <v>91</v>
      </c>
      <c r="E6" s="26">
        <f>IF(MAX(E8:E49)=0,"—",MAX(E8:E49))</f>
        <v>72.8</v>
      </c>
      <c r="F6" s="62" t="s">
        <v>34</v>
      </c>
      <c r="G6" s="62"/>
      <c r="H6" s="27">
        <f>IFERROR(J5/MAX(1,COUNTIFS(C8:C49,"&lt;&gt;Thursday",J8:J49,"&lt;&gt;0",L8:L49,"&lt;&gt;Absent")),0)</f>
        <v>16.084</v>
      </c>
      <c r="I6" s="28">
        <f>IFERROR(J5/MAX(1,COUNTIFS(C8:C49,"&lt;&gt;Thursday",J8:J49,"&lt;&gt;0",L8:L49,"&lt;&gt;Absent"))*COUNTIFS(C8:C49,"&lt;&gt;Thursday",B8:B49,"&lt;&gt;",L8:L49,"&lt;&gt;Absent"),0)</f>
        <v>595.10799999999995</v>
      </c>
      <c r="J6" s="63">
        <f>IFERROR(I6*L3,0)</f>
        <v>34516.263999999996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hidden="1" customHeight="1" x14ac:dyDescent="0.25">
      <c r="A1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/>
      </c>
      <c r="B1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/>
      </c>
      <c r="C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/>
      </c>
      <c r="D11" s="32">
        <v>0</v>
      </c>
      <c r="E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/>
      </c>
      <c r="I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34"/>
      <c r="M11" s="35"/>
    </row>
    <row r="12" spans="1:13" ht="21.75" hidden="1" customHeight="1" x14ac:dyDescent="0.25">
      <c r="A1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/>
      </c>
      <c r="B1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/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/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0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0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/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0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0</v>
      </c>
      <c r="L12" s="34"/>
      <c r="M12" s="35"/>
    </row>
    <row r="13" spans="1:13" ht="21.75" hidden="1" customHeight="1" x14ac:dyDescent="0.25">
      <c r="A13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/>
      </c>
      <c r="B13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/>
      </c>
      <c r="C13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/>
      </c>
      <c r="D13" s="32">
        <v>0</v>
      </c>
      <c r="E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0</v>
      </c>
      <c r="G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0</v>
      </c>
      <c r="H13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/>
      </c>
      <c r="I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0</v>
      </c>
      <c r="K13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0</v>
      </c>
      <c r="L13" s="34"/>
      <c r="M13" s="35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1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46082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2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46083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3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46084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4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46085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46086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6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46087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7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46088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8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46089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9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46090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10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46091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11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46092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46093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13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46094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14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46095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15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46096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16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46097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17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46098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18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46099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46100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20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46101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21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46102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22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46103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91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72.8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3%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2.1839999999999997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18.184000000000001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1054.672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23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46104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24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46105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25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46106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46107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27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46108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0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0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Absent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0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0</v>
      </c>
      <c r="L40" s="35" t="s">
        <v>61</v>
      </c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28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46109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customHeight="1" x14ac:dyDescent="0.25">
      <c r="A4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>29</v>
      </c>
      <c r="B4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>46110</v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>Sunday</v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8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16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>0%</v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16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928</v>
      </c>
      <c r="L42" s="35"/>
      <c r="M42" s="35"/>
    </row>
    <row r="43" spans="1:13" ht="21.75" customHeight="1" x14ac:dyDescent="0.25">
      <c r="A4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))</f>
        <v>30</v>
      </c>
      <c r="B4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</f>
        <v>46111</v>
      </c>
      <c r="C4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TEXT(B43,"DDDD"))</f>
        <v>Monday</v>
      </c>
      <c r="D43" s="47">
        <v>0</v>
      </c>
      <c r="E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IF(D43=0,0,D43*0.8),0)</f>
        <v>0</v>
      </c>
      <c r="F4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8,0)</f>
        <v>8</v>
      </c>
      <c r="G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F43*2,0)</f>
        <v>16</v>
      </c>
      <c r="H4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,"—",IF(L43="Absent","Absent",IF(E43=0,"0%",IF(E43&lt;500,"3%",IF(E43&lt;1000,"4%","5%"))))))</f>
        <v>0%</v>
      </c>
      <c r="I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IF(E43=0,0,IF(E43&lt;500,E43*0.03,IF(E43&lt;1000,E43*0.04,E43*0.05))),0)</f>
        <v>0</v>
      </c>
      <c r="J4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G43+I43,0)</f>
        <v>16</v>
      </c>
      <c r="K4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J43*$L$3,0)</f>
        <v>928</v>
      </c>
      <c r="L43" s="49"/>
      <c r="M43" s="49"/>
    </row>
    <row r="44" spans="1:13" ht="21.75" customHeight="1" x14ac:dyDescent="0.25">
      <c r="A4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))</f>
        <v>31</v>
      </c>
      <c r="B4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</f>
        <v>46112</v>
      </c>
      <c r="C4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TEXT(B44,"DDDD"))</f>
        <v>Tuesday</v>
      </c>
      <c r="D44" s="32">
        <v>0</v>
      </c>
      <c r="E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IF(D44=0,0,D44*0.8),0)</f>
        <v>0</v>
      </c>
      <c r="F4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8,0)</f>
        <v>8</v>
      </c>
      <c r="G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F44*2,0)</f>
        <v>16</v>
      </c>
      <c r="H4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,"—",IF(L44="Absent","Absent",IF(E44=0,"0%",IF(E44&lt;500,"3%",IF(E44&lt;1000,"4%","5%"))))))</f>
        <v>0%</v>
      </c>
      <c r="I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IF(E44=0,0,IF(E44&lt;500,E44*0.03,IF(E44&lt;1000,E44*0.04,E44*0.05))),0)</f>
        <v>0</v>
      </c>
      <c r="J4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G44+I44,0)</f>
        <v>16</v>
      </c>
      <c r="K4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J44*$L$3,0)</f>
        <v>928</v>
      </c>
      <c r="L44" s="35"/>
      <c r="M44" s="35"/>
    </row>
    <row r="45" spans="1:13" ht="21.75" hidden="1" customHeight="1" x14ac:dyDescent="0.25">
      <c r="A45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))</f>
        <v/>
      </c>
      <c r="B45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</f>
        <v/>
      </c>
      <c r="C45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TEXT(B45,"DDDD"))</f>
        <v/>
      </c>
      <c r="D45" s="32">
        <v>0</v>
      </c>
      <c r="E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IF(D45=0,0,D45*0.8),0)</f>
        <v>0</v>
      </c>
      <c r="F45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8,0)</f>
        <v>0</v>
      </c>
      <c r="G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F45*2,0)</f>
        <v>0</v>
      </c>
      <c r="H45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,"—",IF(L45="Absent","Absent",IF(E45=0,"0%",IF(E45&lt;500,"3%",IF(E45&lt;1000,"4%","5%"))))))</f>
        <v/>
      </c>
      <c r="I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IF(E45=0,0,IF(E45&lt;500,E45*0.03,IF(E45&lt;1000,E45*0.04,E45*0.05))),0)</f>
        <v>0</v>
      </c>
      <c r="J45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G45+I45,0)</f>
        <v>0</v>
      </c>
      <c r="K45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J45*$L$3,0)</f>
        <v>0</v>
      </c>
      <c r="L45" s="34"/>
      <c r="M45" s="35"/>
    </row>
    <row r="46" spans="1:13" ht="21.75" hidden="1" customHeight="1" x14ac:dyDescent="0.25">
      <c r="A46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))</f>
        <v/>
      </c>
      <c r="B46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</f>
        <v/>
      </c>
      <c r="C4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TEXT(B46,"DDDD"))</f>
        <v/>
      </c>
      <c r="D46" s="32">
        <v>0</v>
      </c>
      <c r="E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IF(D46=0,0,D46*0.8),0)</f>
        <v>0</v>
      </c>
      <c r="F4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8,0)</f>
        <v>0</v>
      </c>
      <c r="G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F46*2,0)</f>
        <v>0</v>
      </c>
      <c r="H4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,"—",IF(L46="Absent","Absent",IF(E46=0,"0%",IF(E46&lt;500,"3%",IF(E46&lt;1000,"4%","5%"))))))</f>
        <v/>
      </c>
      <c r="I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IF(E46=0,0,IF(E46&lt;500,E46*0.03,IF(E46&lt;1000,E46*0.04,E46*0.05))),0)</f>
        <v>0</v>
      </c>
      <c r="J4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G46+I46,0)</f>
        <v>0</v>
      </c>
      <c r="K4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J46*$L$3,0)</f>
        <v>0</v>
      </c>
      <c r="L46" s="34"/>
      <c r="M46" s="35"/>
    </row>
    <row r="47" spans="1:13" ht="21.75" hidden="1" customHeight="1" x14ac:dyDescent="0.25">
      <c r="A47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))</f>
        <v/>
      </c>
      <c r="B47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</f>
        <v/>
      </c>
      <c r="C47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TEXT(B47,"DDDD"))</f>
        <v/>
      </c>
      <c r="D47" s="32">
        <v>0</v>
      </c>
      <c r="E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IF(D47=0,0,D47*0.8),0)</f>
        <v>0</v>
      </c>
      <c r="F47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8,0)</f>
        <v>0</v>
      </c>
      <c r="G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F47*2,0)</f>
        <v>0</v>
      </c>
      <c r="H47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,"—",IF(L47="Absent","Absent",IF(E47=0,"0%",IF(E47&lt;500,"3%",IF(E47&lt;1000,"4%","5%"))))))</f>
        <v/>
      </c>
      <c r="I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IF(E47=0,0,IF(E47&lt;500,E47*0.03,IF(E47&lt;1000,E47*0.04,E47*0.05))),0)</f>
        <v>0</v>
      </c>
      <c r="J47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G47+I47,0)</f>
        <v>0</v>
      </c>
      <c r="K47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J47*$L$3,0)</f>
        <v>0</v>
      </c>
      <c r="L47" s="34"/>
      <c r="M47" s="35"/>
    </row>
    <row r="48" spans="1:13" ht="21.75" hidden="1" customHeight="1" x14ac:dyDescent="0.25">
      <c r="A4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))</f>
        <v/>
      </c>
      <c r="B4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</f>
        <v/>
      </c>
      <c r="C4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TEXT(B48,"DDDD"))</f>
        <v/>
      </c>
      <c r="D48" s="32">
        <v>0</v>
      </c>
      <c r="E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IF(D48=0,0,D48*0.8),0)</f>
        <v>0</v>
      </c>
      <c r="F4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8,0)</f>
        <v>0</v>
      </c>
      <c r="G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F48*2,0)</f>
        <v>0</v>
      </c>
      <c r="H4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,"—",IF(L48="Absent","Absent",IF(E48=0,"0%",IF(E48&lt;500,"3%",IF(E48&lt;1000,"4%","5%"))))))</f>
        <v/>
      </c>
      <c r="I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IF(E48=0,0,IF(E48&lt;500,E48*0.03,IF(E48&lt;1000,E48*0.04,E48*0.05))),0)</f>
        <v>0</v>
      </c>
      <c r="J4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G48+I48,0)</f>
        <v>0</v>
      </c>
      <c r="K4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J48*$L$3,0)</f>
        <v>0</v>
      </c>
      <c r="L48" s="34"/>
      <c r="M48" s="35"/>
    </row>
    <row r="49" spans="1:13" ht="21.75" hidden="1" customHeight="1" x14ac:dyDescent="0.25">
      <c r="A4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))</f>
        <v/>
      </c>
      <c r="B4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</f>
        <v/>
      </c>
      <c r="C4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TEXT(B49,"DDDD"))</f>
        <v/>
      </c>
      <c r="D49" s="32">
        <v>0</v>
      </c>
      <c r="E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IF(D49=0,0,D49*0.8),0)</f>
        <v>0</v>
      </c>
      <c r="F4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8,0)</f>
        <v>0</v>
      </c>
      <c r="G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F49*2,0)</f>
        <v>0</v>
      </c>
      <c r="H4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,"—",IF(L49="Absent","Absent",IF(E49=0,"0%",IF(E49&lt;500,"3%",IF(E49&lt;1000,"4%","5%"))))))</f>
        <v/>
      </c>
      <c r="I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IF(E49=0,0,IF(E49&lt;500,E49*0.03,IF(E49&lt;1000,E49*0.04,E49*0.05))),0)</f>
        <v>0</v>
      </c>
      <c r="J4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G49+I49,0)</f>
        <v>0</v>
      </c>
      <c r="K4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J49*$L$3,0)</f>
        <v>0</v>
      </c>
      <c r="L49" s="34"/>
      <c r="M49" s="35"/>
    </row>
    <row r="50" spans="1:13" ht="24" customHeight="1" x14ac:dyDescent="0.25">
      <c r="A50" s="60" t="str">
        <f>IF(COUNTIFS(C8:C14,"&lt;&gt;")=0,"","WEEK 1  (Mon "&amp;TEXT(B8,"MMM D")&amp;" – Sun "&amp;TEXT(B14,"MMM D")&amp;")")</f>
        <v>WEEK 1  (Mon  – Sun Mar 1)</v>
      </c>
      <c r="B50" s="60"/>
      <c r="C50" s="60"/>
      <c r="D50" s="50">
        <f>SUMIFS(D8:D14,C8:C14,"&lt;&gt;Thursday",C8:C14,"&lt;&gt;",L8:L14,"&lt;&gt;Absent")</f>
        <v>0</v>
      </c>
      <c r="E50" s="50">
        <f>SUMIFS(E8:E14,C8:C14,"&lt;&gt;Thursday",C8:C14,"&lt;&gt;",L8:L14,"&lt;&gt;Absent")</f>
        <v>0</v>
      </c>
      <c r="F50" s="51"/>
      <c r="G50" s="50">
        <f>SUMIFS(G8:G14,C8:C14,"&lt;&gt;Thursday",C8:C14,"&lt;&gt;",L8:L14,"&lt;&gt;Absent")</f>
        <v>16</v>
      </c>
      <c r="H50" s="51"/>
      <c r="I50" s="50">
        <f>SUMIFS(I8:I14,C8:C14,"&lt;&gt;Thursday",C8:C14,"&lt;&gt;",L8:L14,"&lt;&gt;Absent")</f>
        <v>0</v>
      </c>
      <c r="J50" s="52">
        <f>SUMIFS(J8:J14,C8:C14,"&lt;&gt;Thursday",C8:C14,"&lt;&gt;",L8:L14,"&lt;&gt;Absent")</f>
        <v>16</v>
      </c>
      <c r="K50" s="50">
        <f>SUMIFS(K8:K14,C8:C14,"&lt;&gt;Thursday",C8:C14,"&lt;&gt;",L8:L14,"&lt;&gt;Absent")</f>
        <v>928</v>
      </c>
      <c r="L50" s="53" t="str">
        <f>IF(COUNTIFS(C8:C14,"&lt;&gt;")=0,"",COUNTIF(L8:L14,"✓")&amp;" hits  |  "&amp;COUNTIF(L8:L14,"Absent")&amp;" absent")</f>
        <v>0 hits  |  0 absent</v>
      </c>
      <c r="M50" s="51"/>
    </row>
    <row r="51" spans="1:13" ht="24" customHeight="1" x14ac:dyDescent="0.25">
      <c r="A51" s="60" t="str">
        <f>IF(COUNTIFS(C15:C21,"&lt;&gt;")=0,"","WEEK 2  (Mon "&amp;TEXT(B15,"MMM D")&amp;" – Sun "&amp;TEXT(B21,"MMM D")&amp;")")</f>
        <v>WEEK 2  (Mon Mar 2 – Sun Mar 8)</v>
      </c>
      <c r="B51" s="60"/>
      <c r="C51" s="60"/>
      <c r="D51" s="50">
        <f>SUMIFS(D15:D21,C15:C21,"&lt;&gt;Thursday",C15:C21,"&lt;&gt;",L15:L21,"&lt;&gt;Absent")</f>
        <v>0</v>
      </c>
      <c r="E51" s="50">
        <f>SUMIFS(E15:E21,C15:C21,"&lt;&gt;Thursday",C15:C21,"&lt;&gt;",L15:L21,"&lt;&gt;Absent")</f>
        <v>0</v>
      </c>
      <c r="F51" s="51"/>
      <c r="G51" s="50">
        <f>SUMIFS(G15:G21,C15:C21,"&lt;&gt;Thursday",C15:C21,"&lt;&gt;",L15:L21,"&lt;&gt;Absent")</f>
        <v>96</v>
      </c>
      <c r="H51" s="51"/>
      <c r="I51" s="50">
        <f>SUMIFS(I15:I21,C15:C21,"&lt;&gt;Thursday",C15:C21,"&lt;&gt;",L15:L21,"&lt;&gt;Absent")</f>
        <v>0</v>
      </c>
      <c r="J51" s="52">
        <f>SUMIFS(J15:J21,C15:C21,"&lt;&gt;Thursday",C15:C21,"&lt;&gt;",L15:L21,"&lt;&gt;Absent")</f>
        <v>96</v>
      </c>
      <c r="K51" s="50">
        <f>SUMIFS(K15:K21,C15:C21,"&lt;&gt;Thursday",C15:C21,"&lt;&gt;",L15:L21,"&lt;&gt;Absent")</f>
        <v>5568</v>
      </c>
      <c r="L51" s="53" t="str">
        <f>IF(COUNTIFS(C15:C21,"&lt;&gt;")=0,"",COUNTIF(L15:L21,"✓")&amp;" hits  |  "&amp;COUNTIF(L15:L21,"Absent")&amp;" absent")</f>
        <v>0 hits  |  0 absent</v>
      </c>
      <c r="M51" s="51"/>
    </row>
    <row r="52" spans="1:13" ht="24" customHeight="1" x14ac:dyDescent="0.25">
      <c r="A52" s="60" t="str">
        <f>IF(COUNTIFS(C22:C28,"&lt;&gt;")=0,"","WEEK 3  (Mon "&amp;TEXT(B22,"MMM D")&amp;" – Sun "&amp;TEXT(B28,"MMM D")&amp;")")</f>
        <v>WEEK 3  (Mon Mar 9 – Sun Mar 15)</v>
      </c>
      <c r="B52" s="60"/>
      <c r="C52" s="60"/>
      <c r="D52" s="50">
        <f>SUMIFS(D22:D28,C22:C28,"&lt;&gt;Thursday",C22:C28,"&lt;&gt;",L22:L28,"&lt;&gt;Absent")</f>
        <v>0</v>
      </c>
      <c r="E52" s="50">
        <f>SUMIFS(E22:E28,C22:C28,"&lt;&gt;Thursday",C22:C28,"&lt;&gt;",L22:L28,"&lt;&gt;Absent")</f>
        <v>0</v>
      </c>
      <c r="F52" s="51"/>
      <c r="G52" s="50">
        <f>SUMIFS(G22:G28,C22:C28,"&lt;&gt;Thursday",C22:C28,"&lt;&gt;",L22:L28,"&lt;&gt;Absent")</f>
        <v>96</v>
      </c>
      <c r="H52" s="51"/>
      <c r="I52" s="50">
        <f>SUMIFS(I22:I28,C22:C28,"&lt;&gt;Thursday",C22:C28,"&lt;&gt;",L22:L28,"&lt;&gt;Absent")</f>
        <v>0</v>
      </c>
      <c r="J52" s="52">
        <f>SUMIFS(J22:J28,C22:C28,"&lt;&gt;Thursday",C22:C28,"&lt;&gt;",L22:L28,"&lt;&gt;Absent")</f>
        <v>96</v>
      </c>
      <c r="K52" s="50">
        <f>SUMIFS(K22:K28,C22:C28,"&lt;&gt;Thursday",C22:C28,"&lt;&gt;",L22:L28,"&lt;&gt;Absent")</f>
        <v>5568</v>
      </c>
      <c r="L52" s="53" t="str">
        <f>IF(COUNTIFS(C22:C28,"&lt;&gt;")=0,"",COUNTIF(L22:L28,"✓")&amp;" hits  |  "&amp;COUNTIF(L22:L28,"Absent")&amp;" absent")</f>
        <v>0 hits  |  0 absent</v>
      </c>
      <c r="M52" s="51"/>
    </row>
    <row r="53" spans="1:13" ht="24" customHeight="1" x14ac:dyDescent="0.25">
      <c r="A53" s="60" t="str">
        <f>IF(COUNTIFS(C29:C35,"&lt;&gt;")=0,"","WEEK 4  (Mon "&amp;TEXT(B29,"MMM D")&amp;" – Sun "&amp;TEXT(B35,"MMM D")&amp;")")</f>
        <v>WEEK 4  (Mon Mar 16 – Sun Mar 22)</v>
      </c>
      <c r="B53" s="60"/>
      <c r="C53" s="60"/>
      <c r="D53" s="50">
        <f>SUMIFS(D29:D35,C29:C35,"&lt;&gt;Thursday",C29:C35,"&lt;&gt;",L29:L35,"&lt;&gt;Absent")</f>
        <v>91</v>
      </c>
      <c r="E53" s="50">
        <f>SUMIFS(E29:E35,C29:C35,"&lt;&gt;Thursday",C29:C35,"&lt;&gt;",L29:L35,"&lt;&gt;Absent")</f>
        <v>72.8</v>
      </c>
      <c r="F53" s="51"/>
      <c r="G53" s="50">
        <f>SUMIFS(G29:G35,C29:C35,"&lt;&gt;Thursday",C29:C35,"&lt;&gt;",L29:L35,"&lt;&gt;Absent")</f>
        <v>96</v>
      </c>
      <c r="H53" s="51"/>
      <c r="I53" s="50">
        <f>SUMIFS(I29:I35,C29:C35,"&lt;&gt;Thursday",C29:C35,"&lt;&gt;",L29:L35,"&lt;&gt;Absent")</f>
        <v>2.1839999999999997</v>
      </c>
      <c r="J53" s="52">
        <f>SUMIFS(J29:J35,C29:C35,"&lt;&gt;Thursday",C29:C35,"&lt;&gt;",L29:L35,"&lt;&gt;Absent")</f>
        <v>98.183999999999997</v>
      </c>
      <c r="K53" s="50">
        <f>SUMIFS(K29:K35,C29:C35,"&lt;&gt;Thursday",C29:C35,"&lt;&gt;",L29:L35,"&lt;&gt;Absent")</f>
        <v>5694.6720000000005</v>
      </c>
      <c r="L53" s="53" t="str">
        <f>IF(COUNTIFS(C29:C35,"&lt;&gt;")=0,"",COUNTIF(L29:L35,"✓")&amp;" hits  |  "&amp;COUNTIF(L29:L35,"Absent")&amp;" absent")</f>
        <v>0 hits  |  0 absent</v>
      </c>
      <c r="M53" s="51"/>
    </row>
    <row r="54" spans="1:13" ht="24" customHeight="1" x14ac:dyDescent="0.25">
      <c r="A54" s="60" t="str">
        <f>IF(COUNTIFS(C36:C42,"&lt;&gt;")=0,"","WEEK 5  (Mon "&amp;TEXT(B36,"MMM D")&amp;" – Sun "&amp;TEXT(B42,"MMM D")&amp;")")</f>
        <v>WEEK 5  (Mon Mar 23 – Sun Mar 29)</v>
      </c>
      <c r="B54" s="60"/>
      <c r="C54" s="60"/>
      <c r="D54" s="50">
        <f>SUMIFS(D36:D42,C36:C42,"&lt;&gt;Thursday",C36:C42,"&lt;&gt;",L36:L42,"&lt;&gt;Absent")</f>
        <v>0</v>
      </c>
      <c r="E54" s="50">
        <f>SUMIFS(E36:E42,C36:C42,"&lt;&gt;Thursday",C36:C42,"&lt;&gt;",L36:L42,"&lt;&gt;Absent")</f>
        <v>0</v>
      </c>
      <c r="F54" s="51"/>
      <c r="G54" s="50">
        <f>SUMIFS(G36:G42,C36:C42,"&lt;&gt;Thursday",C36:C42,"&lt;&gt;",L36:L42,"&lt;&gt;Absent")</f>
        <v>80</v>
      </c>
      <c r="H54" s="51"/>
      <c r="I54" s="50">
        <f>SUMIFS(I36:I42,C36:C42,"&lt;&gt;Thursday",C36:C42,"&lt;&gt;",L36:L42,"&lt;&gt;Absent")</f>
        <v>0</v>
      </c>
      <c r="J54" s="52">
        <f>SUMIFS(J36:J42,C36:C42,"&lt;&gt;Thursday",C36:C42,"&lt;&gt;",L36:L42,"&lt;&gt;Absent")</f>
        <v>80</v>
      </c>
      <c r="K54" s="50">
        <f>SUMIFS(K36:K42,C36:C42,"&lt;&gt;Thursday",C36:C42,"&lt;&gt;",L36:L42,"&lt;&gt;Absent")</f>
        <v>4640</v>
      </c>
      <c r="L54" s="53" t="str">
        <f>IF(COUNTIFS(C36:C42,"&lt;&gt;")=0,"",COUNTIF(L36:L42,"✓")&amp;" hits  |  "&amp;COUNTIF(L36:L42,"Absent")&amp;" absent")</f>
        <v>0 hits  |  1 absent</v>
      </c>
      <c r="M54" s="51"/>
    </row>
    <row r="55" spans="1:13" ht="24" customHeight="1" x14ac:dyDescent="0.25">
      <c r="A55" s="60" t="str">
        <f>IF(COUNTIFS(C43:C49,"&lt;&gt;")=0,"","WEEK 6  (Mon "&amp;TEXT(B43,"MMM D")&amp;" – Sun "&amp;TEXT(B49,"MMM D")&amp;")")</f>
        <v>WEEK 6  (Mon Mar 30 – Sun )</v>
      </c>
      <c r="B55" s="60"/>
      <c r="C55" s="60"/>
      <c r="D55" s="50">
        <f>SUMIFS(D43:D49,C43:C49,"&lt;&gt;Thursday",C43:C49,"&lt;&gt;",L43:L49,"&lt;&gt;Absent")</f>
        <v>0</v>
      </c>
      <c r="E55" s="50">
        <f>SUMIFS(E43:E49,C43:C49,"&lt;&gt;Thursday",C43:C49,"&lt;&gt;",L43:L49,"&lt;&gt;Absent")</f>
        <v>0</v>
      </c>
      <c r="F55" s="51"/>
      <c r="G55" s="50">
        <f>SUMIFS(G43:G49,C43:C49,"&lt;&gt;Thursday",C43:C49,"&lt;&gt;",L43:L49,"&lt;&gt;Absent")</f>
        <v>32</v>
      </c>
      <c r="H55" s="51"/>
      <c r="I55" s="50">
        <f>SUMIFS(I43:I49,C43:C49,"&lt;&gt;Thursday",C43:C49,"&lt;&gt;",L43:L49,"&lt;&gt;Absent")</f>
        <v>0</v>
      </c>
      <c r="J55" s="52">
        <f>SUMIFS(J43:J49,C43:C49,"&lt;&gt;Thursday",C43:C49,"&lt;&gt;",L43:L49,"&lt;&gt;Absent")</f>
        <v>32</v>
      </c>
      <c r="K55" s="50">
        <f>SUMIFS(K43:K49,C43:C49,"&lt;&gt;Thursday",C43:C49,"&lt;&gt;",L43:L49,"&lt;&gt;Absent")</f>
        <v>1856</v>
      </c>
      <c r="L55" s="53" t="str">
        <f>IF(COUNTIFS(C43:C49,"&lt;&gt;")=0,"",COUNTIF(L43:L49,"✓")&amp;" hits  |  "&amp;COUNTIF(L43:L49,"Absent")&amp;" absent")</f>
        <v>0 hits  |  0 absent</v>
      </c>
      <c r="M55" s="51"/>
    </row>
    <row r="56" spans="1:13" ht="27.75" customHeight="1" x14ac:dyDescent="0.25">
      <c r="A56" s="59" t="str">
        <f>"MONTHLY TOTAL  —  "&amp;C3&amp;" "&amp;D3&amp;"  |  "&amp;C4</f>
        <v>MONTHLY TOTAL  —  March 2026  |  4:00 PM – 12:00 MN</v>
      </c>
      <c r="B56" s="59"/>
      <c r="C56" s="59"/>
      <c r="D56" s="54">
        <f>SUMIFS(D8:D49,C8:C49,"&lt;&gt;Thursday",C8:C49,"&lt;&gt;",L8:L49,"&lt;&gt;Absent")</f>
        <v>91</v>
      </c>
      <c r="E56" s="54">
        <f>SUMIFS(E8:E49,C8:C49,"&lt;&gt;Thursday",C8:C49,"&lt;&gt;",L8:L49,"&lt;&gt;Absent")</f>
        <v>72.8</v>
      </c>
      <c r="F56" s="55"/>
      <c r="G56" s="54">
        <f>SUMIFS(G8:G49,C8:C49,"&lt;&gt;Thursday",C8:C49,"&lt;&gt;",L8:L49,"&lt;&gt;Absent")</f>
        <v>416</v>
      </c>
      <c r="H56" s="55"/>
      <c r="I56" s="54">
        <f>SUMIFS(I8:I49,C8:C49,"&lt;&gt;Thursday",C8:C49,"&lt;&gt;",L8:L49,"&lt;&gt;Absent")</f>
        <v>2.1839999999999997</v>
      </c>
      <c r="J56" s="56">
        <f>SUMIFS(J8:J49,C8:C49,"&lt;&gt;Thursday",C8:C49,"&lt;&gt;",L8:L49,"&lt;&gt;Absent")</f>
        <v>418.18400000000003</v>
      </c>
      <c r="K56" s="57">
        <f>SUMIFS(K8:K49,C8:C49,"&lt;&gt;Thursday",C8:C49,"&lt;&gt;",L8:L49,"&lt;&gt;Absent")</f>
        <v>24254.671999999999</v>
      </c>
      <c r="L56" s="58" t="str">
        <f>COUNTIF(L8:L49,"Absent")&amp;" absences  |  "&amp;COUNTIF(L8:L49,"✓")&amp;" goals hit"</f>
        <v>1 absences  |  0 goals hit</v>
      </c>
      <c r="M56" s="55"/>
    </row>
  </sheetData>
  <mergeCells count="21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50:C50"/>
    <mergeCell ref="A56:C56"/>
    <mergeCell ref="A51:C51"/>
    <mergeCell ref="A52:C52"/>
    <mergeCell ref="A53:C53"/>
    <mergeCell ref="A54:C54"/>
    <mergeCell ref="A55:C55"/>
  </mergeCells>
  <conditionalFormatting sqref="A8:M49">
    <cfRule type="expression" dxfId="131" priority="2">
      <formula>$B8=TODAY()</formula>
    </cfRule>
    <cfRule type="expression" dxfId="130" priority="3">
      <formula>$L8="Absent"</formula>
    </cfRule>
  </conditionalFormatting>
  <conditionalFormatting sqref="D8:M49">
    <cfRule type="expression" dxfId="129" priority="10">
      <formula>AND($E8&gt;=1000,$C8&lt;&gt;"",$C8&lt;&gt;"Thursday",$L8&lt;&gt;"Absent")</formula>
    </cfRule>
    <cfRule type="expression" dxfId="128" priority="11">
      <formula>AND($E8&gt;=500,$E8&lt;1000,$C8&lt;&gt;"",$C8&lt;&gt;"Thursday",$L8&lt;&gt;"Absent")</formula>
    </cfRule>
  </conditionalFormatting>
  <conditionalFormatting sqref="L8:L49">
    <cfRule type="expression" dxfId="127" priority="44">
      <formula>AND($J8&gt;=$J$3,$C8&lt;&gt;"Thursday",$C8&lt;&gt;"",$L8&lt;&gt;"Absent")</formula>
    </cfRule>
    <cfRule type="expression" dxfId="126" priority="45">
      <formula>AND($J8&lt;$J$3,$C8&lt;&gt;"Thursday",$C8&lt;&gt;"",$L8&lt;&gt;"Absent")</formula>
    </cfRule>
  </conditionalFormatting>
  <dataValidations xWindow="1069" yWindow="580" count="5">
    <dataValidation type="list" allowBlank="1" showInputMessage="1" promptTitle="Status" prompt="Leave blank for a normal work day. Select &quot;Absent&quot; to exclude this day from salary calculations." sqref="L8:L13 L15:L49" xr:uid="{00000000-0002-0000-0300-000000000000}">
      <formula1>"Absent"</formula1>
      <formula2>0</formula2>
    </dataValidation>
    <dataValidation type="list" sqref="C3" xr:uid="{00000000-0002-0000-0300-000001000000}">
      <formula1>"January,February,March,April,May,June,July,August,September,October,November,December"</formula1>
      <formula2>0</formula2>
    </dataValidation>
    <dataValidation type="list" sqref="D3" xr:uid="{00000000-0002-0000-0300-000002000000}">
      <formula1>"2025,2026,2027,2028,2029,2030"</formula1>
      <formula2>0</formula2>
    </dataValidation>
    <dataValidation type="list" sqref="C4" xr:uid="{00000000-0002-0000-0300-000003000000}">
      <formula1>"12:00 MN – 8:00 AM,8:00 AM – 4:00 PM,4:00 PM – 12:00 MN"</formula1>
      <formula2>0</formula2>
    </dataValidation>
    <dataValidation type="list" allowBlank="1" showInputMessage="1" promptTitle="Status" prompt="Leave blank for a normal work day. Select &quot;Absent&quot; to exclude this day from salary calculations." sqref="L14" xr:uid="{8BD18B81-383E-485F-90CA-279D5DFE9E54}">
      <formula1>",Absent"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8"/>
  <sheetViews>
    <sheetView showGridLines="0" zoomScaleNormal="100" workbookViewId="0">
      <pane ySplit="7" topLeftCell="A10" activePane="bottomLeft" state="frozen"/>
      <selection pane="bottomLeft" sqref="A1:M1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51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400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400</v>
      </c>
      <c r="K5" s="24">
        <f>SUMIFS(K8:K42,K8:K42,"&lt;&gt;0",C8:C42,"&lt;&gt;Thursday",C8:C42,"&lt;&gt;",L8:L42,"&lt;&gt;Absent")</f>
        <v>23200</v>
      </c>
      <c r="L5" s="69" t="str">
        <f>COUNTIF(L8:L42,"✓")&amp;" / "&amp;COUNTIFS(C8:C42,"&lt;&gt;Thursday",C8:C42,"&lt;&gt;",L8:L42,"&lt;&gt;Absent")&amp;" days goal hit"</f>
        <v>0 / 30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480</v>
      </c>
      <c r="J6" s="63">
        <f>IFERROR(I6*L3,0)</f>
        <v>27840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1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46113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46114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3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46115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4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46116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5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46117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6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46118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7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46119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8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46120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46121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10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46122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11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46123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12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46124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13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46125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14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46126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15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46127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46128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17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46129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18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46130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19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46131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20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46132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21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46133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22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46134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46135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24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46136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25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46137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26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46138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27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46139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28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46140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29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46141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46142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hidden="1" customHeight="1" x14ac:dyDescent="0.25">
      <c r="A4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/>
      </c>
      <c r="B4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/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/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0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0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/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0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0</v>
      </c>
      <c r="L40" s="34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Apr 5)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64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64</v>
      </c>
      <c r="K43" s="50">
        <f>SUMIFS(K8:K14,C8:C14,"&lt;&gt;Thursday",C8:C14,"&lt;&gt;",L8:L14,"&lt;&gt;Absent")</f>
        <v>3712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Apr 6 – Sun Apr 12)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Apr 13 – Sun Apr 19)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Apr 20 – Sun Apr 26)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Apr 27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48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48</v>
      </c>
      <c r="K47" s="50">
        <f>SUMIFS(K36:K42,C36:C42,"&lt;&gt;Thursday",C36:C42,"&lt;&gt;",L36:L42,"&lt;&gt;Absent")</f>
        <v>2784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April 2026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400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400</v>
      </c>
      <c r="K48" s="57">
        <f>SUMIFS(K8:K42,C8:C42,"&lt;&gt;Thursday",C8:C42,"&lt;&gt;",L8:L42,"&lt;&gt;Absent")</f>
        <v>23200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125" priority="2">
      <formula>$B8=TODAY()</formula>
    </cfRule>
    <cfRule type="expression" dxfId="124" priority="3">
      <formula>$L8="Absent"</formula>
    </cfRule>
  </conditionalFormatting>
  <conditionalFormatting sqref="D8:M42">
    <cfRule type="expression" dxfId="123" priority="10">
      <formula>AND($E8&gt;=1000,$C8&lt;&gt;"",$C8&lt;&gt;"Thursday",$L8&lt;&gt;"Absent")</formula>
    </cfRule>
    <cfRule type="expression" dxfId="122" priority="11">
      <formula>AND($E8&gt;=500,$E8&lt;1000,$C8&lt;&gt;"",$C8&lt;&gt;"Thursday",$L8&lt;&gt;"Absent")</formula>
    </cfRule>
  </conditionalFormatting>
  <conditionalFormatting sqref="L8:L42">
    <cfRule type="expression" dxfId="121" priority="44">
      <formula>AND($J8&gt;=$J$3,$C8&lt;&gt;"Thursday",$C8&lt;&gt;"",$L8&lt;&gt;"Absent")</formula>
    </cfRule>
    <cfRule type="expression" dxfId="120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0400-000000000000}">
      <formula1>"Absent"</formula1>
      <formula2>0</formula2>
    </dataValidation>
    <dataValidation type="list" sqref="C3" xr:uid="{00000000-0002-0000-0400-000001000000}">
      <formula1>"January,February,March,April,May,June,July,August,September,October,November,December"</formula1>
      <formula2>0</formula2>
    </dataValidation>
    <dataValidation type="list" sqref="D3" xr:uid="{00000000-0002-0000-0400-000002000000}">
      <formula1>"2025,2026,2027,2028,2029,2030"</formula1>
      <formula2>0</formula2>
    </dataValidation>
    <dataValidation type="list" sqref="C4" xr:uid="{00000000-0002-0000-04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52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432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432</v>
      </c>
      <c r="K5" s="24">
        <f>SUMIFS(K8:K42,K8:K42,"&lt;&gt;0",C8:C42,"&lt;&gt;Thursday",C8:C42,"&lt;&gt;",L8:L42,"&lt;&gt;Absent")</f>
        <v>25056</v>
      </c>
      <c r="L5" s="69" t="str">
        <f>COUNTIF(L8:L42,"✓")&amp;" / "&amp;COUNTIFS(C8:C42,"&lt;&gt;Thursday",C8:C42,"&lt;&gt;",L8:L42,"&lt;&gt;Absent")&amp;" days goal hit"</f>
        <v>0 / 31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496</v>
      </c>
      <c r="J6" s="63">
        <f>IFERROR(I6*L3,0)</f>
        <v>28768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hidden="1" customHeight="1" x14ac:dyDescent="0.25">
      <c r="A1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/>
      </c>
      <c r="B1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/>
      </c>
      <c r="C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/>
      </c>
      <c r="D11" s="32">
        <v>0</v>
      </c>
      <c r="E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/>
      </c>
      <c r="I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34"/>
      <c r="M11" s="35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1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46143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2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46144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3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46145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4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46146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5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46147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6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46148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46149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8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46150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9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46151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10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46152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11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46153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12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46154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13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46155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46156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15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46157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16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46158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17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46159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18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46160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19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46161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20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46162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46163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22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46164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23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46165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24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46166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25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46167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26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46168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27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46169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46170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29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46171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30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46172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customHeight="1" x14ac:dyDescent="0.25">
      <c r="A4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>31</v>
      </c>
      <c r="B4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>46173</v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>Sunday</v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8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16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>0%</v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16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928</v>
      </c>
      <c r="L42" s="35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May 3)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48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48</v>
      </c>
      <c r="K43" s="50">
        <f>SUMIFS(K8:K14,C8:C14,"&lt;&gt;Thursday",C8:C14,"&lt;&gt;",L8:L14,"&lt;&gt;Absent")</f>
        <v>2784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May 4 – Sun May 10)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May 11 – Sun May 17)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May 18 – Sun May 24)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May 25 – Sun May 31)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96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96</v>
      </c>
      <c r="K47" s="50">
        <f>SUMIFS(K36:K42,C36:C42,"&lt;&gt;Thursday",C36:C42,"&lt;&gt;",L36:L42,"&lt;&gt;Absent")</f>
        <v>5568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May 2026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432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432</v>
      </c>
      <c r="K48" s="57">
        <f>SUMIFS(K8:K42,C8:C42,"&lt;&gt;Thursday",C8:C42,"&lt;&gt;",L8:L42,"&lt;&gt;Absent")</f>
        <v>25056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119" priority="2">
      <formula>$B8=TODAY()</formula>
    </cfRule>
    <cfRule type="expression" dxfId="118" priority="3">
      <formula>$L8="Absent"</formula>
    </cfRule>
  </conditionalFormatting>
  <conditionalFormatting sqref="D8:M42">
    <cfRule type="expression" dxfId="117" priority="10">
      <formula>AND($E8&gt;=1000,$C8&lt;&gt;"",$C8&lt;&gt;"Thursday",$L8&lt;&gt;"Absent")</formula>
    </cfRule>
    <cfRule type="expression" dxfId="116" priority="11">
      <formula>AND($E8&gt;=500,$E8&lt;1000,$C8&lt;&gt;"",$C8&lt;&gt;"Thursday",$L8&lt;&gt;"Absent")</formula>
    </cfRule>
  </conditionalFormatting>
  <conditionalFormatting sqref="L8:L42">
    <cfRule type="expression" dxfId="115" priority="44">
      <formula>AND($J8&gt;=$J$3,$C8&lt;&gt;"Thursday",$C8&lt;&gt;"",$L8&lt;&gt;"Absent")</formula>
    </cfRule>
    <cfRule type="expression" dxfId="114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0500-000000000000}">
      <formula1>"Absent"</formula1>
      <formula2>0</formula2>
    </dataValidation>
    <dataValidation type="list" sqref="C3" xr:uid="{00000000-0002-0000-0500-000001000000}">
      <formula1>"January,February,March,April,May,June,July,August,September,October,November,December"</formula1>
      <formula2>0</formula2>
    </dataValidation>
    <dataValidation type="list" sqref="D3" xr:uid="{00000000-0002-0000-0500-000002000000}">
      <formula1>"2025,2026,2027,2028,2029,2030"</formula1>
      <formula2>0</formula2>
    </dataValidation>
    <dataValidation type="list" sqref="C4" xr:uid="{00000000-0002-0000-05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53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416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416</v>
      </c>
      <c r="K5" s="24">
        <f>SUMIFS(K8:K42,K8:K42,"&lt;&gt;0",C8:C42,"&lt;&gt;Thursday",C8:C42,"&lt;&gt;",L8:L42,"&lt;&gt;Absent")</f>
        <v>24128</v>
      </c>
      <c r="L5" s="69" t="str">
        <f>COUNTIF(L8:L42,"✓")&amp;" / "&amp;COUNTIFS(C8:C42,"&lt;&gt;Thursday",C8:C42,"&lt;&gt;",L8:L42,"&lt;&gt;Absent")&amp;" days goal hit"</f>
        <v>0 / 31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496</v>
      </c>
      <c r="J6" s="63">
        <f>IFERROR(I6*L3,0)</f>
        <v>28768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customHeight="1" x14ac:dyDescent="0.25">
      <c r="A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>1</v>
      </c>
      <c r="B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>46174</v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>Monday</v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8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16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>0%</v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16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928</v>
      </c>
      <c r="L8" s="35"/>
      <c r="M8" s="35"/>
    </row>
    <row r="9" spans="1:13" ht="21.75" customHeight="1" x14ac:dyDescent="0.25">
      <c r="A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>2</v>
      </c>
      <c r="B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>46175</v>
      </c>
      <c r="C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>Tuesday</v>
      </c>
      <c r="D9" s="47">
        <v>0</v>
      </c>
      <c r="E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8</v>
      </c>
      <c r="G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16</v>
      </c>
      <c r="H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>0%</v>
      </c>
      <c r="I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16</v>
      </c>
      <c r="K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928</v>
      </c>
      <c r="L9" s="49"/>
      <c r="M9" s="49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3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46176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46177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5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46178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6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46179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7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46180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8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46181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9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46182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10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46183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46184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12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46185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13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46186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14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46187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15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46188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16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46189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17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46190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46191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19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46192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20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46193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21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46194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22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46195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23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46196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24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46197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46198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26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46199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27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46200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28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46201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29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46202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30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46203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hidden="1" customHeight="1" x14ac:dyDescent="0.25">
      <c r="A3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/>
      </c>
      <c r="B3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/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/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0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0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/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0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0</v>
      </c>
      <c r="L38" s="34"/>
      <c r="M38" s="35"/>
    </row>
    <row r="39" spans="1:13" ht="21.75" hidden="1" customHeight="1" x14ac:dyDescent="0.25">
      <c r="A3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/>
      </c>
      <c r="B3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/>
      </c>
      <c r="C3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/>
      </c>
      <c r="D39" s="32">
        <v>0</v>
      </c>
      <c r="E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/>
      </c>
      <c r="I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34"/>
      <c r="M39" s="35"/>
    </row>
    <row r="40" spans="1:13" ht="21.75" hidden="1" customHeight="1" x14ac:dyDescent="0.25">
      <c r="A4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/>
      </c>
      <c r="B4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/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/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0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0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/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0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0</v>
      </c>
      <c r="L40" s="34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Jun 1 – Sun Jun 7)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96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96</v>
      </c>
      <c r="K43" s="50">
        <f>SUMIFS(K8:K14,C8:C14,"&lt;&gt;Thursday",C8:C14,"&lt;&gt;",L8:L14,"&lt;&gt;Absent")</f>
        <v>5568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Jun 8 – Sun Jun 14)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Jun 15 – Sun Jun 21)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Jun 22 – Sun Jun 28)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Jun 29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32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32</v>
      </c>
      <c r="K47" s="50">
        <f>SUMIFS(K36:K42,C36:C42,"&lt;&gt;Thursday",C36:C42,"&lt;&gt;",L36:L42,"&lt;&gt;Absent")</f>
        <v>1856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June 2026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416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416</v>
      </c>
      <c r="K48" s="57">
        <f>SUMIFS(K8:K42,C8:C42,"&lt;&gt;Thursday",C8:C42,"&lt;&gt;",L8:L42,"&lt;&gt;Absent")</f>
        <v>24128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113" priority="2">
      <formula>$B8=TODAY()</formula>
    </cfRule>
    <cfRule type="expression" dxfId="112" priority="3">
      <formula>$L8="Absent"</formula>
    </cfRule>
  </conditionalFormatting>
  <conditionalFormatting sqref="D8:M42">
    <cfRule type="expression" dxfId="111" priority="10">
      <formula>AND($E8&gt;=1000,$C8&lt;&gt;"",$C8&lt;&gt;"Thursday",$L8&lt;&gt;"Absent")</formula>
    </cfRule>
    <cfRule type="expression" dxfId="110" priority="11">
      <formula>AND($E8&gt;=500,$E8&lt;1000,$C8&lt;&gt;"",$C8&lt;&gt;"Thursday",$L8&lt;&gt;"Absent")</formula>
    </cfRule>
  </conditionalFormatting>
  <conditionalFormatting sqref="L8:L42">
    <cfRule type="expression" dxfId="109" priority="44">
      <formula>AND($J8&gt;=$J$3,$C8&lt;&gt;"Thursday",$C8&lt;&gt;"",$L8&lt;&gt;"Absent")</formula>
    </cfRule>
    <cfRule type="expression" dxfId="108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0600-000000000000}">
      <formula1>"Absent"</formula1>
      <formula2>0</formula2>
    </dataValidation>
    <dataValidation type="list" sqref="C3" xr:uid="{00000000-0002-0000-0600-000001000000}">
      <formula1>"January,February,March,April,May,June,July,August,September,October,November,December"</formula1>
      <formula2>0</formula2>
    </dataValidation>
    <dataValidation type="list" sqref="D3" xr:uid="{00000000-0002-0000-0600-000002000000}">
      <formula1>"2025,2026,2027,2028,2029,2030"</formula1>
      <formula2>0</formula2>
    </dataValidation>
    <dataValidation type="list" sqref="C4" xr:uid="{00000000-0002-0000-06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54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416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416</v>
      </c>
      <c r="K5" s="24">
        <f>SUMIFS(K8:K42,K8:K42,"&lt;&gt;0",C8:C42,"&lt;&gt;Thursday",C8:C42,"&lt;&gt;",L8:L42,"&lt;&gt;Absent")</f>
        <v>24128</v>
      </c>
      <c r="L5" s="69" t="str">
        <f>COUNTIF(L8:L42,"✓")&amp;" / "&amp;COUNTIFS(C8:C42,"&lt;&gt;Thursday",C8:C42,"&lt;&gt;",L8:L42,"&lt;&gt;Absent")&amp;" days goal hit"</f>
        <v>0 / 30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480</v>
      </c>
      <c r="J6" s="63">
        <f>IFERROR(I6*L3,0)</f>
        <v>27840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1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46204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46205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3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46206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4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46207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5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46208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6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46209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7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46210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8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46211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46212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10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46213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11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46214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12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46215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13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46216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14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46217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15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46218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46219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17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46220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18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46221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19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46222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20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46223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21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46224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22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46225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46226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24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46227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25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46228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26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46229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27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46230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28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46231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29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46232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46233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31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46234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Jul 5)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64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64</v>
      </c>
      <c r="K43" s="50">
        <f>SUMIFS(K8:K14,C8:C14,"&lt;&gt;Thursday",C8:C14,"&lt;&gt;",L8:L14,"&lt;&gt;Absent")</f>
        <v>3712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Jul 6 – Sun Jul 12)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Jul 13 – Sun Jul 19)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Jul 20 – Sun Jul 26)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Jul 27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64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64</v>
      </c>
      <c r="K47" s="50">
        <f>SUMIFS(K36:K42,C36:C42,"&lt;&gt;Thursday",C36:C42,"&lt;&gt;",L36:L42,"&lt;&gt;Absent")</f>
        <v>3712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July 2026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416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416</v>
      </c>
      <c r="K48" s="57">
        <f>SUMIFS(K8:K42,C8:C42,"&lt;&gt;Thursday",C8:C42,"&lt;&gt;",L8:L42,"&lt;&gt;Absent")</f>
        <v>24128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107" priority="2">
      <formula>$B8=TODAY()</formula>
    </cfRule>
    <cfRule type="expression" dxfId="106" priority="3">
      <formula>$L8="Absent"</formula>
    </cfRule>
  </conditionalFormatting>
  <conditionalFormatting sqref="D8:M42">
    <cfRule type="expression" dxfId="105" priority="10">
      <formula>AND($E8&gt;=1000,$C8&lt;&gt;"",$C8&lt;&gt;"Thursday",$L8&lt;&gt;"Absent")</formula>
    </cfRule>
    <cfRule type="expression" dxfId="104" priority="11">
      <formula>AND($E8&gt;=500,$E8&lt;1000,$C8&lt;&gt;"",$C8&lt;&gt;"Thursday",$L8&lt;&gt;"Absent")</formula>
    </cfRule>
  </conditionalFormatting>
  <conditionalFormatting sqref="L8:L42">
    <cfRule type="expression" dxfId="103" priority="44">
      <formula>AND($J8&gt;=$J$3,$C8&lt;&gt;"Thursday",$C8&lt;&gt;"",$L8&lt;&gt;"Absent")</formula>
    </cfRule>
    <cfRule type="expression" dxfId="102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0700-000000000000}">
      <formula1>"Absent"</formula1>
      <formula2>0</formula2>
    </dataValidation>
    <dataValidation type="list" sqref="C3" xr:uid="{00000000-0002-0000-0700-000001000000}">
      <formula1>"January,February,March,April,May,June,July,August,September,October,November,December"</formula1>
      <formula2>0</formula2>
    </dataValidation>
    <dataValidation type="list" sqref="D3" xr:uid="{00000000-0002-0000-0700-000002000000}">
      <formula1>"2025,2026,2027,2028,2029,2030"</formula1>
      <formula2>0</formula2>
    </dataValidation>
    <dataValidation type="list" sqref="C4" xr:uid="{00000000-0002-0000-07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6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55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SUMIFS(D8:D49,D8:D49,"&lt;&gt;0",C8:C49,"&lt;&gt;Thursday",C8:C49,"&lt;&gt;",L8:L49,"&lt;&gt;Absent")</f>
        <v>0</v>
      </c>
      <c r="E5" s="24">
        <f>SUMIFS(E8:E49,E8:E49,"&lt;&gt;0",C8:C49,"&lt;&gt;Thursday",C8:C49,"&lt;&gt;",L8:L49,"&lt;&gt;Absent")</f>
        <v>0</v>
      </c>
      <c r="F5" s="25"/>
      <c r="G5" s="24">
        <f>SUMIFS(G8:G49,G8:G49,"&lt;&gt;0",C8:C49,"&lt;&gt;Thursday",C8:C49,"&lt;&gt;",L8:L49,"&lt;&gt;Absent")</f>
        <v>432</v>
      </c>
      <c r="H5" s="25"/>
      <c r="I5" s="24">
        <f>SUMIFS(I8:I49,I8:I49,"&lt;&gt;0",C8:C49,"&lt;&gt;Thursday",C8:C49,"&lt;&gt;",L8:L49,"&lt;&gt;Absent")</f>
        <v>0</v>
      </c>
      <c r="J5" s="24">
        <f>SUMIFS(J8:J49,J8:J49,"&lt;&gt;0",C8:C49,"&lt;&gt;Thursday",C8:C49,"&lt;&gt;",L8:L49,"&lt;&gt;Absent")</f>
        <v>432</v>
      </c>
      <c r="K5" s="24">
        <f>SUMIFS(K8:K49,K8:K49,"&lt;&gt;0",C8:C49,"&lt;&gt;Thursday",C8:C49,"&lt;&gt;",L8:L49,"&lt;&gt;Absent")</f>
        <v>25056</v>
      </c>
      <c r="L5" s="69" t="str">
        <f>COUNTIF(L8:L49,"✓")&amp;" / "&amp;COUNTIFS(C8:C49,"&lt;&gt;Thursday",C8:C49,"&lt;&gt;",L8:L49,"&lt;&gt;Absent")&amp;" days goal hit"</f>
        <v>0 / 38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IF(MAX(D8:D49)=0,"—",MAX(D8:D49))</f>
        <v>—</v>
      </c>
      <c r="E6" s="26" t="str">
        <f>IF(MAX(E8:E49)=0,"—",MAX(E8:E49))</f>
        <v>—</v>
      </c>
      <c r="F6" s="62" t="s">
        <v>34</v>
      </c>
      <c r="G6" s="62"/>
      <c r="H6" s="27">
        <f>IFERROR(J5/MAX(1,COUNTIFS(C8:C49,"&lt;&gt;Thursday",J8:J49,"&lt;&gt;0",L8:L49,"&lt;&gt;Absent")),0)</f>
        <v>16</v>
      </c>
      <c r="I6" s="28">
        <f>IFERROR(J5/MAX(1,COUNTIFS(C8:C49,"&lt;&gt;Thursday",J8:J49,"&lt;&gt;0",L8:L49,"&lt;&gt;Absent"))*COUNTIFS(C8:C49,"&lt;&gt;Thursday",B8:B49,"&lt;&gt;",L8:L49,"&lt;&gt;Absent"),0)</f>
        <v>608</v>
      </c>
      <c r="J6" s="63">
        <f>IFERROR(I6*L3,0)</f>
        <v>35264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hidden="1" customHeight="1" x14ac:dyDescent="0.25">
      <c r="A1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/>
      </c>
      <c r="B1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/>
      </c>
      <c r="C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/>
      </c>
      <c r="D11" s="32">
        <v>0</v>
      </c>
      <c r="E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/>
      </c>
      <c r="I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34"/>
      <c r="M11" s="35"/>
    </row>
    <row r="12" spans="1:13" ht="21.75" hidden="1" customHeight="1" x14ac:dyDescent="0.25">
      <c r="A1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/>
      </c>
      <c r="B1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/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/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0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0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/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0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0</v>
      </c>
      <c r="L12" s="34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1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46235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2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46236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3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46237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4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46238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5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46239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46240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7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46241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8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46242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9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46243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10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46244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11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46245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12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46246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46247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14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46248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15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46249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16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46250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17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46251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18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46252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19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46253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46254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21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46255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22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46256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23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46257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24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46258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25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46259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26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46260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46261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28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46262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29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46263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customHeight="1" x14ac:dyDescent="0.25">
      <c r="A4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>30</v>
      </c>
      <c r="B4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>46264</v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>Sunday</v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8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16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>0%</v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16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928</v>
      </c>
      <c r="L42" s="35"/>
      <c r="M42" s="35"/>
    </row>
    <row r="43" spans="1:13" ht="21.75" customHeight="1" x14ac:dyDescent="0.25">
      <c r="A4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))</f>
        <v>31</v>
      </c>
      <c r="B4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</f>
        <v>46265</v>
      </c>
      <c r="C4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TEXT(B43,"DDDD"))</f>
        <v>Monday</v>
      </c>
      <c r="D43" s="47">
        <v>0</v>
      </c>
      <c r="E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IF(D43=0,0,D43*0.8),0)</f>
        <v>0</v>
      </c>
      <c r="F4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8,0)</f>
        <v>8</v>
      </c>
      <c r="G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F43*2,0)</f>
        <v>16</v>
      </c>
      <c r="H4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,"—",IF(L43="Absent","Absent",IF(E43=0,"0%",IF(E43&lt;500,"3%",IF(E43&lt;1000,"4%","5%"))))))</f>
        <v>0%</v>
      </c>
      <c r="I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IF(E43=0,0,IF(E43&lt;500,E43*0.03,IF(E43&lt;1000,E43*0.04,E43*0.05))),0)</f>
        <v>0</v>
      </c>
      <c r="J4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G43+I43,0)</f>
        <v>16</v>
      </c>
      <c r="K4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J43*$L$3,0)</f>
        <v>928</v>
      </c>
      <c r="L43" s="49"/>
      <c r="M43" s="49"/>
    </row>
    <row r="44" spans="1:13" ht="21.75" hidden="1" customHeight="1" x14ac:dyDescent="0.25">
      <c r="A44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))</f>
        <v/>
      </c>
      <c r="B44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</f>
        <v/>
      </c>
      <c r="C4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TEXT(B44,"DDDD"))</f>
        <v/>
      </c>
      <c r="D44" s="32">
        <v>0</v>
      </c>
      <c r="E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IF(D44=0,0,D44*0.8),0)</f>
        <v>0</v>
      </c>
      <c r="F4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8,0)</f>
        <v>0</v>
      </c>
      <c r="G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F44*2,0)</f>
        <v>0</v>
      </c>
      <c r="H4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,"—",IF(L44="Absent","Absent",IF(E44=0,"0%",IF(E44&lt;500,"3%",IF(E44&lt;1000,"4%","5%"))))))</f>
        <v/>
      </c>
      <c r="I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IF(E44=0,0,IF(E44&lt;500,E44*0.03,IF(E44&lt;1000,E44*0.04,E44*0.05))),0)</f>
        <v>0</v>
      </c>
      <c r="J4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G44+I44,0)</f>
        <v>0</v>
      </c>
      <c r="K4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J44*$L$3,0)</f>
        <v>0</v>
      </c>
      <c r="L44" s="34"/>
      <c r="M44" s="35"/>
    </row>
    <row r="45" spans="1:13" ht="21.75" hidden="1" customHeight="1" x14ac:dyDescent="0.25">
      <c r="A45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))</f>
        <v/>
      </c>
      <c r="B45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</f>
        <v/>
      </c>
      <c r="C45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TEXT(B45,"DDDD"))</f>
        <v/>
      </c>
      <c r="D45" s="32">
        <v>0</v>
      </c>
      <c r="E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IF(D45=0,0,D45*0.8),0)</f>
        <v>0</v>
      </c>
      <c r="F45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8,0)</f>
        <v>0</v>
      </c>
      <c r="G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F45*2,0)</f>
        <v>0</v>
      </c>
      <c r="H45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,"—",IF(L45="Absent","Absent",IF(E45=0,"0%",IF(E45&lt;500,"3%",IF(E45&lt;1000,"4%","5%"))))))</f>
        <v/>
      </c>
      <c r="I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IF(E45=0,0,IF(E45&lt;500,E45*0.03,IF(E45&lt;1000,E45*0.04,E45*0.05))),0)</f>
        <v>0</v>
      </c>
      <c r="J45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G45+I45,0)</f>
        <v>0</v>
      </c>
      <c r="K45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J45*$L$3,0)</f>
        <v>0</v>
      </c>
      <c r="L45" s="34"/>
      <c r="M45" s="35"/>
    </row>
    <row r="46" spans="1:13" ht="21.75" hidden="1" customHeight="1" x14ac:dyDescent="0.25">
      <c r="A46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))</f>
        <v/>
      </c>
      <c r="B46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</f>
        <v/>
      </c>
      <c r="C4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TEXT(B46,"DDDD"))</f>
        <v/>
      </c>
      <c r="D46" s="32">
        <v>0</v>
      </c>
      <c r="E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IF(D46=0,0,D46*0.8),0)</f>
        <v>0</v>
      </c>
      <c r="F4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8,0)</f>
        <v>0</v>
      </c>
      <c r="G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F46*2,0)</f>
        <v>0</v>
      </c>
      <c r="H4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,"—",IF(L46="Absent","Absent",IF(E46=0,"0%",IF(E46&lt;500,"3%",IF(E46&lt;1000,"4%","5%"))))))</f>
        <v/>
      </c>
      <c r="I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IF(E46=0,0,IF(E46&lt;500,E46*0.03,IF(E46&lt;1000,E46*0.04,E46*0.05))),0)</f>
        <v>0</v>
      </c>
      <c r="J4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G46+I46,0)</f>
        <v>0</v>
      </c>
      <c r="K4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J46*$L$3,0)</f>
        <v>0</v>
      </c>
      <c r="L46" s="34"/>
      <c r="M46" s="35"/>
    </row>
    <row r="47" spans="1:13" ht="21.75" hidden="1" customHeight="1" x14ac:dyDescent="0.25">
      <c r="A47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))</f>
        <v/>
      </c>
      <c r="B47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</f>
        <v/>
      </c>
      <c r="C47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TEXT(B47,"DDDD"))</f>
        <v/>
      </c>
      <c r="D47" s="32">
        <v>0</v>
      </c>
      <c r="E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IF(D47=0,0,D47*0.8),0)</f>
        <v>0</v>
      </c>
      <c r="F47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8,0)</f>
        <v>0</v>
      </c>
      <c r="G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F47*2,0)</f>
        <v>0</v>
      </c>
      <c r="H47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,"—",IF(L47="Absent","Absent",IF(E47=0,"0%",IF(E47&lt;500,"3%",IF(E47&lt;1000,"4%","5%"))))))</f>
        <v/>
      </c>
      <c r="I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IF(E47=0,0,IF(E47&lt;500,E47*0.03,IF(E47&lt;1000,E47*0.04,E47*0.05))),0)</f>
        <v>0</v>
      </c>
      <c r="J47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G47+I47,0)</f>
        <v>0</v>
      </c>
      <c r="K47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J47*$L$3,0)</f>
        <v>0</v>
      </c>
      <c r="L47" s="34"/>
      <c r="M47" s="35"/>
    </row>
    <row r="48" spans="1:13" ht="21.75" hidden="1" customHeight="1" x14ac:dyDescent="0.25">
      <c r="A4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))</f>
        <v/>
      </c>
      <c r="B4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</f>
        <v/>
      </c>
      <c r="C4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TEXT(B48,"DDDD"))</f>
        <v/>
      </c>
      <c r="D48" s="32">
        <v>0</v>
      </c>
      <c r="E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IF(D48=0,0,D48*0.8),0)</f>
        <v>0</v>
      </c>
      <c r="F4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8,0)</f>
        <v>0</v>
      </c>
      <c r="G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F48*2,0)</f>
        <v>0</v>
      </c>
      <c r="H4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,"—",IF(L48="Absent","Absent",IF(E48=0,"0%",IF(E48&lt;500,"3%",IF(E48&lt;1000,"4%","5%"))))))</f>
        <v/>
      </c>
      <c r="I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IF(E48=0,0,IF(E48&lt;500,E48*0.03,IF(E48&lt;1000,E48*0.04,E48*0.05))),0)</f>
        <v>0</v>
      </c>
      <c r="J4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G48+I48,0)</f>
        <v>0</v>
      </c>
      <c r="K4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J48*$L$3,0)</f>
        <v>0</v>
      </c>
      <c r="L48" s="34"/>
      <c r="M48" s="35"/>
    </row>
    <row r="49" spans="1:13" ht="21.75" hidden="1" customHeight="1" x14ac:dyDescent="0.25">
      <c r="A4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))</f>
        <v/>
      </c>
      <c r="B4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</f>
        <v/>
      </c>
      <c r="C4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TEXT(B49,"DDDD"))</f>
        <v/>
      </c>
      <c r="D49" s="32">
        <v>0</v>
      </c>
      <c r="E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IF(D49=0,0,D49*0.8),0)</f>
        <v>0</v>
      </c>
      <c r="F4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8,0)</f>
        <v>0</v>
      </c>
      <c r="G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F49*2,0)</f>
        <v>0</v>
      </c>
      <c r="H4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,"—",IF(L49="Absent","Absent",IF(E49=0,"0%",IF(E49&lt;500,"3%",IF(E49&lt;1000,"4%","5%"))))))</f>
        <v/>
      </c>
      <c r="I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IF(E49=0,0,IF(E49&lt;500,E49*0.03,IF(E49&lt;1000,E49*0.04,E49*0.05))),0)</f>
        <v>0</v>
      </c>
      <c r="J4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G49+I49,0)</f>
        <v>0</v>
      </c>
      <c r="K4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J49*$L$3,0)</f>
        <v>0</v>
      </c>
      <c r="L49" s="34"/>
      <c r="M49" s="35"/>
    </row>
    <row r="50" spans="1:13" ht="24" customHeight="1" x14ac:dyDescent="0.25">
      <c r="A50" s="60" t="str">
        <f>IF(COUNTIFS(C8:C14,"&lt;&gt;")=0,"","WEEK 1  (Mon "&amp;TEXT(B8,"MMM D")&amp;" – Sun "&amp;TEXT(B14,"MMM D")&amp;")")</f>
        <v>WEEK 1  (Mon  – Sun Aug 2)</v>
      </c>
      <c r="B50" s="60"/>
      <c r="C50" s="60"/>
      <c r="D50" s="50">
        <f>SUMIFS(D8:D14,C8:C14,"&lt;&gt;Thursday",C8:C14,"&lt;&gt;",L8:L14,"&lt;&gt;Absent")</f>
        <v>0</v>
      </c>
      <c r="E50" s="50">
        <f>SUMIFS(E8:E14,C8:C14,"&lt;&gt;Thursday",C8:C14,"&lt;&gt;",L8:L14,"&lt;&gt;Absent")</f>
        <v>0</v>
      </c>
      <c r="F50" s="51"/>
      <c r="G50" s="50">
        <f>SUMIFS(G8:G14,C8:C14,"&lt;&gt;Thursday",C8:C14,"&lt;&gt;",L8:L14,"&lt;&gt;Absent")</f>
        <v>32</v>
      </c>
      <c r="H50" s="51"/>
      <c r="I50" s="50">
        <f>SUMIFS(I8:I14,C8:C14,"&lt;&gt;Thursday",C8:C14,"&lt;&gt;",L8:L14,"&lt;&gt;Absent")</f>
        <v>0</v>
      </c>
      <c r="J50" s="52">
        <f>SUMIFS(J8:J14,C8:C14,"&lt;&gt;Thursday",C8:C14,"&lt;&gt;",L8:L14,"&lt;&gt;Absent")</f>
        <v>32</v>
      </c>
      <c r="K50" s="50">
        <f>SUMIFS(K8:K14,C8:C14,"&lt;&gt;Thursday",C8:C14,"&lt;&gt;",L8:L14,"&lt;&gt;Absent")</f>
        <v>1856</v>
      </c>
      <c r="L50" s="53" t="str">
        <f>IF(COUNTIFS(C8:C14,"&lt;&gt;")=0,"",COUNTIF(L8:L14,"✓")&amp;" hits  |  "&amp;COUNTIF(L8:L14,"Absent")&amp;" absent")</f>
        <v>0 hits  |  0 absent</v>
      </c>
      <c r="M50" s="51"/>
    </row>
    <row r="51" spans="1:13" ht="24" customHeight="1" x14ac:dyDescent="0.25">
      <c r="A51" s="60" t="str">
        <f>IF(COUNTIFS(C15:C21,"&lt;&gt;")=0,"","WEEK 2  (Mon "&amp;TEXT(B15,"MMM D")&amp;" – Sun "&amp;TEXT(B21,"MMM D")&amp;")")</f>
        <v>WEEK 2  (Mon Aug 3 – Sun Aug 9)</v>
      </c>
      <c r="B51" s="60"/>
      <c r="C51" s="60"/>
      <c r="D51" s="50">
        <f>SUMIFS(D15:D21,C15:C21,"&lt;&gt;Thursday",C15:C21,"&lt;&gt;",L15:L21,"&lt;&gt;Absent")</f>
        <v>0</v>
      </c>
      <c r="E51" s="50">
        <f>SUMIFS(E15:E21,C15:C21,"&lt;&gt;Thursday",C15:C21,"&lt;&gt;",L15:L21,"&lt;&gt;Absent")</f>
        <v>0</v>
      </c>
      <c r="F51" s="51"/>
      <c r="G51" s="50">
        <f>SUMIFS(G15:G21,C15:C21,"&lt;&gt;Thursday",C15:C21,"&lt;&gt;",L15:L21,"&lt;&gt;Absent")</f>
        <v>96</v>
      </c>
      <c r="H51" s="51"/>
      <c r="I51" s="50">
        <f>SUMIFS(I15:I21,C15:C21,"&lt;&gt;Thursday",C15:C21,"&lt;&gt;",L15:L21,"&lt;&gt;Absent")</f>
        <v>0</v>
      </c>
      <c r="J51" s="52">
        <f>SUMIFS(J15:J21,C15:C21,"&lt;&gt;Thursday",C15:C21,"&lt;&gt;",L15:L21,"&lt;&gt;Absent")</f>
        <v>96</v>
      </c>
      <c r="K51" s="50">
        <f>SUMIFS(K15:K21,C15:C21,"&lt;&gt;Thursday",C15:C21,"&lt;&gt;",L15:L21,"&lt;&gt;Absent")</f>
        <v>5568</v>
      </c>
      <c r="L51" s="53" t="str">
        <f>IF(COUNTIFS(C15:C21,"&lt;&gt;")=0,"",COUNTIF(L15:L21,"✓")&amp;" hits  |  "&amp;COUNTIF(L15:L21,"Absent")&amp;" absent")</f>
        <v>0 hits  |  0 absent</v>
      </c>
      <c r="M51" s="51"/>
    </row>
    <row r="52" spans="1:13" ht="24" customHeight="1" x14ac:dyDescent="0.25">
      <c r="A52" s="60" t="str">
        <f>IF(COUNTIFS(C22:C28,"&lt;&gt;")=0,"","WEEK 3  (Mon "&amp;TEXT(B22,"MMM D")&amp;" – Sun "&amp;TEXT(B28,"MMM D")&amp;")")</f>
        <v>WEEK 3  (Mon Aug 10 – Sun Aug 16)</v>
      </c>
      <c r="B52" s="60"/>
      <c r="C52" s="60"/>
      <c r="D52" s="50">
        <f>SUMIFS(D22:D28,C22:C28,"&lt;&gt;Thursday",C22:C28,"&lt;&gt;",L22:L28,"&lt;&gt;Absent")</f>
        <v>0</v>
      </c>
      <c r="E52" s="50">
        <f>SUMIFS(E22:E28,C22:C28,"&lt;&gt;Thursday",C22:C28,"&lt;&gt;",L22:L28,"&lt;&gt;Absent")</f>
        <v>0</v>
      </c>
      <c r="F52" s="51"/>
      <c r="G52" s="50">
        <f>SUMIFS(G22:G28,C22:C28,"&lt;&gt;Thursday",C22:C28,"&lt;&gt;",L22:L28,"&lt;&gt;Absent")</f>
        <v>96</v>
      </c>
      <c r="H52" s="51"/>
      <c r="I52" s="50">
        <f>SUMIFS(I22:I28,C22:C28,"&lt;&gt;Thursday",C22:C28,"&lt;&gt;",L22:L28,"&lt;&gt;Absent")</f>
        <v>0</v>
      </c>
      <c r="J52" s="52">
        <f>SUMIFS(J22:J28,C22:C28,"&lt;&gt;Thursday",C22:C28,"&lt;&gt;",L22:L28,"&lt;&gt;Absent")</f>
        <v>96</v>
      </c>
      <c r="K52" s="50">
        <f>SUMIFS(K22:K28,C22:C28,"&lt;&gt;Thursday",C22:C28,"&lt;&gt;",L22:L28,"&lt;&gt;Absent")</f>
        <v>5568</v>
      </c>
      <c r="L52" s="53" t="str">
        <f>IF(COUNTIFS(C22:C28,"&lt;&gt;")=0,"",COUNTIF(L22:L28,"✓")&amp;" hits  |  "&amp;COUNTIF(L22:L28,"Absent")&amp;" absent")</f>
        <v>0 hits  |  0 absent</v>
      </c>
      <c r="M52" s="51"/>
    </row>
    <row r="53" spans="1:13" ht="24" customHeight="1" x14ac:dyDescent="0.25">
      <c r="A53" s="60" t="str">
        <f>IF(COUNTIFS(C29:C35,"&lt;&gt;")=0,"","WEEK 4  (Mon "&amp;TEXT(B29,"MMM D")&amp;" – Sun "&amp;TEXT(B35,"MMM D")&amp;")")</f>
        <v>WEEK 4  (Mon Aug 17 – Sun Aug 23)</v>
      </c>
      <c r="B53" s="60"/>
      <c r="C53" s="60"/>
      <c r="D53" s="50">
        <f>SUMIFS(D29:D35,C29:C35,"&lt;&gt;Thursday",C29:C35,"&lt;&gt;",L29:L35,"&lt;&gt;Absent")</f>
        <v>0</v>
      </c>
      <c r="E53" s="50">
        <f>SUMIFS(E29:E35,C29:C35,"&lt;&gt;Thursday",C29:C35,"&lt;&gt;",L29:L35,"&lt;&gt;Absent")</f>
        <v>0</v>
      </c>
      <c r="F53" s="51"/>
      <c r="G53" s="50">
        <f>SUMIFS(G29:G35,C29:C35,"&lt;&gt;Thursday",C29:C35,"&lt;&gt;",L29:L35,"&lt;&gt;Absent")</f>
        <v>96</v>
      </c>
      <c r="H53" s="51"/>
      <c r="I53" s="50">
        <f>SUMIFS(I29:I35,C29:C35,"&lt;&gt;Thursday",C29:C35,"&lt;&gt;",L29:L35,"&lt;&gt;Absent")</f>
        <v>0</v>
      </c>
      <c r="J53" s="52">
        <f>SUMIFS(J29:J35,C29:C35,"&lt;&gt;Thursday",C29:C35,"&lt;&gt;",L29:L35,"&lt;&gt;Absent")</f>
        <v>96</v>
      </c>
      <c r="K53" s="50">
        <f>SUMIFS(K29:K35,C29:C35,"&lt;&gt;Thursday",C29:C35,"&lt;&gt;",L29:L35,"&lt;&gt;Absent")</f>
        <v>5568</v>
      </c>
      <c r="L53" s="53" t="str">
        <f>IF(COUNTIFS(C29:C35,"&lt;&gt;")=0,"",COUNTIF(L29:L35,"✓")&amp;" hits  |  "&amp;COUNTIF(L29:L35,"Absent")&amp;" absent")</f>
        <v>0 hits  |  0 absent</v>
      </c>
      <c r="M53" s="51"/>
    </row>
    <row r="54" spans="1:13" ht="24" customHeight="1" x14ac:dyDescent="0.25">
      <c r="A54" s="60" t="str">
        <f>IF(COUNTIFS(C36:C42,"&lt;&gt;")=0,"","WEEK 5  (Mon "&amp;TEXT(B36,"MMM D")&amp;" – Sun "&amp;TEXT(B42,"MMM D")&amp;")")</f>
        <v>WEEK 5  (Mon Aug 24 – Sun Aug 30)</v>
      </c>
      <c r="B54" s="60"/>
      <c r="C54" s="60"/>
      <c r="D54" s="50">
        <f>SUMIFS(D36:D42,C36:C42,"&lt;&gt;Thursday",C36:C42,"&lt;&gt;",L36:L42,"&lt;&gt;Absent")</f>
        <v>0</v>
      </c>
      <c r="E54" s="50">
        <f>SUMIFS(E36:E42,C36:C42,"&lt;&gt;Thursday",C36:C42,"&lt;&gt;",L36:L42,"&lt;&gt;Absent")</f>
        <v>0</v>
      </c>
      <c r="F54" s="51"/>
      <c r="G54" s="50">
        <f>SUMIFS(G36:G42,C36:C42,"&lt;&gt;Thursday",C36:C42,"&lt;&gt;",L36:L42,"&lt;&gt;Absent")</f>
        <v>96</v>
      </c>
      <c r="H54" s="51"/>
      <c r="I54" s="50">
        <f>SUMIFS(I36:I42,C36:C42,"&lt;&gt;Thursday",C36:C42,"&lt;&gt;",L36:L42,"&lt;&gt;Absent")</f>
        <v>0</v>
      </c>
      <c r="J54" s="52">
        <f>SUMIFS(J36:J42,C36:C42,"&lt;&gt;Thursday",C36:C42,"&lt;&gt;",L36:L42,"&lt;&gt;Absent")</f>
        <v>96</v>
      </c>
      <c r="K54" s="50">
        <f>SUMIFS(K36:K42,C36:C42,"&lt;&gt;Thursday",C36:C42,"&lt;&gt;",L36:L42,"&lt;&gt;Absent")</f>
        <v>5568</v>
      </c>
      <c r="L54" s="53" t="str">
        <f>IF(COUNTIFS(C36:C42,"&lt;&gt;")=0,"",COUNTIF(L36:L42,"✓")&amp;" hits  |  "&amp;COUNTIF(L36:L42,"Absent")&amp;" absent")</f>
        <v>0 hits  |  0 absent</v>
      </c>
      <c r="M54" s="51"/>
    </row>
    <row r="55" spans="1:13" ht="24" customHeight="1" x14ac:dyDescent="0.25">
      <c r="A55" s="60" t="str">
        <f>IF(COUNTIFS(C43:C49,"&lt;&gt;")=0,"","WEEK 6  (Mon "&amp;TEXT(B43,"MMM D")&amp;" – Sun "&amp;TEXT(B49,"MMM D")&amp;")")</f>
        <v>WEEK 6  (Mon Aug 31 – Sun )</v>
      </c>
      <c r="B55" s="60"/>
      <c r="C55" s="60"/>
      <c r="D55" s="50">
        <f>SUMIFS(D43:D49,C43:C49,"&lt;&gt;Thursday",C43:C49,"&lt;&gt;",L43:L49,"&lt;&gt;Absent")</f>
        <v>0</v>
      </c>
      <c r="E55" s="50">
        <f>SUMIFS(E43:E49,C43:C49,"&lt;&gt;Thursday",C43:C49,"&lt;&gt;",L43:L49,"&lt;&gt;Absent")</f>
        <v>0</v>
      </c>
      <c r="F55" s="51"/>
      <c r="G55" s="50">
        <f>SUMIFS(G43:G49,C43:C49,"&lt;&gt;Thursday",C43:C49,"&lt;&gt;",L43:L49,"&lt;&gt;Absent")</f>
        <v>16</v>
      </c>
      <c r="H55" s="51"/>
      <c r="I55" s="50">
        <f>SUMIFS(I43:I49,C43:C49,"&lt;&gt;Thursday",C43:C49,"&lt;&gt;",L43:L49,"&lt;&gt;Absent")</f>
        <v>0</v>
      </c>
      <c r="J55" s="52">
        <f>SUMIFS(J43:J49,C43:C49,"&lt;&gt;Thursday",C43:C49,"&lt;&gt;",L43:L49,"&lt;&gt;Absent")</f>
        <v>16</v>
      </c>
      <c r="K55" s="50">
        <f>SUMIFS(K43:K49,C43:C49,"&lt;&gt;Thursday",C43:C49,"&lt;&gt;",L43:L49,"&lt;&gt;Absent")</f>
        <v>928</v>
      </c>
      <c r="L55" s="53" t="str">
        <f>IF(COUNTIFS(C43:C49,"&lt;&gt;")=0,"",COUNTIF(L43:L49,"✓")&amp;" hits  |  "&amp;COUNTIF(L43:L49,"Absent")&amp;" absent")</f>
        <v>0 hits  |  0 absent</v>
      </c>
      <c r="M55" s="51"/>
    </row>
    <row r="56" spans="1:13" ht="27.75" customHeight="1" x14ac:dyDescent="0.25">
      <c r="A56" s="59" t="str">
        <f>"MONTHLY TOTAL  —  "&amp;C3&amp;" "&amp;D3&amp;"  |  "&amp;C4</f>
        <v>MONTHLY TOTAL  —  August 2026  |  4:00 PM – 12:00 MN</v>
      </c>
      <c r="B56" s="59"/>
      <c r="C56" s="59"/>
      <c r="D56" s="54">
        <f>SUMIFS(D8:D49,C8:C49,"&lt;&gt;Thursday",C8:C49,"&lt;&gt;",L8:L49,"&lt;&gt;Absent")</f>
        <v>0</v>
      </c>
      <c r="E56" s="54">
        <f>SUMIFS(E8:E49,C8:C49,"&lt;&gt;Thursday",C8:C49,"&lt;&gt;",L8:L49,"&lt;&gt;Absent")</f>
        <v>0</v>
      </c>
      <c r="F56" s="55"/>
      <c r="G56" s="54">
        <f>SUMIFS(G8:G49,C8:C49,"&lt;&gt;Thursday",C8:C49,"&lt;&gt;",L8:L49,"&lt;&gt;Absent")</f>
        <v>432</v>
      </c>
      <c r="H56" s="55"/>
      <c r="I56" s="54">
        <f>SUMIFS(I8:I49,C8:C49,"&lt;&gt;Thursday",C8:C49,"&lt;&gt;",L8:L49,"&lt;&gt;Absent")</f>
        <v>0</v>
      </c>
      <c r="J56" s="56">
        <f>SUMIFS(J8:J49,C8:C49,"&lt;&gt;Thursday",C8:C49,"&lt;&gt;",L8:L49,"&lt;&gt;Absent")</f>
        <v>432</v>
      </c>
      <c r="K56" s="57">
        <f>SUMIFS(K8:K49,C8:C49,"&lt;&gt;Thursday",C8:C49,"&lt;&gt;",L8:L49,"&lt;&gt;Absent")</f>
        <v>25056</v>
      </c>
      <c r="L56" s="58" t="str">
        <f>COUNTIF(L8:L49,"Absent")&amp;" absences  |  "&amp;COUNTIF(L8:L49,"✓")&amp;" goals hit"</f>
        <v>0 absences  |  0 goals hit</v>
      </c>
      <c r="M56" s="55"/>
    </row>
  </sheetData>
  <mergeCells count="21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50:C50"/>
    <mergeCell ref="A56:C56"/>
    <mergeCell ref="A51:C51"/>
    <mergeCell ref="A52:C52"/>
    <mergeCell ref="A53:C53"/>
    <mergeCell ref="A54:C54"/>
    <mergeCell ref="A55:C55"/>
  </mergeCells>
  <conditionalFormatting sqref="A8:M49">
    <cfRule type="expression" dxfId="101" priority="2">
      <formula>$B8=TODAY()</formula>
    </cfRule>
    <cfRule type="expression" dxfId="100" priority="3">
      <formula>$L8="Absent"</formula>
    </cfRule>
  </conditionalFormatting>
  <conditionalFormatting sqref="D8:M49">
    <cfRule type="expression" dxfId="99" priority="10">
      <formula>AND($E8&gt;=1000,$C8&lt;&gt;"",$C8&lt;&gt;"Thursday",$L8&lt;&gt;"Absent")</formula>
    </cfRule>
    <cfRule type="expression" dxfId="98" priority="11">
      <formula>AND($E8&gt;=500,$E8&lt;1000,$C8&lt;&gt;"",$C8&lt;&gt;"Thursday",$L8&lt;&gt;"Absent")</formula>
    </cfRule>
  </conditionalFormatting>
  <conditionalFormatting sqref="L8:L49">
    <cfRule type="expression" dxfId="97" priority="44">
      <formula>AND($J8&gt;=$J$3,$C8&lt;&gt;"Thursday",$C8&lt;&gt;"",$L8&lt;&gt;"Absent")</formula>
    </cfRule>
    <cfRule type="expression" dxfId="96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9" xr:uid="{00000000-0002-0000-0800-000000000000}">
      <formula1>"Absent"</formula1>
      <formula2>0</formula2>
    </dataValidation>
    <dataValidation type="list" sqref="C3" xr:uid="{00000000-0002-0000-0800-000001000000}">
      <formula1>"January,February,March,April,May,June,July,August,September,October,November,December"</formula1>
      <formula2>0</formula2>
    </dataValidation>
    <dataValidation type="list" sqref="D3" xr:uid="{00000000-0002-0000-0800-000002000000}">
      <formula1>"2025,2026,2027,2028,2029,2030"</formula1>
      <formula2>0</formula2>
    </dataValidation>
    <dataValidation type="list" sqref="C4" xr:uid="{00000000-0002-0000-08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56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416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416</v>
      </c>
      <c r="K5" s="24">
        <f>SUMIFS(K8:K42,K8:K42,"&lt;&gt;0",C8:C42,"&lt;&gt;Thursday",C8:C42,"&lt;&gt;",L8:L42,"&lt;&gt;Absent")</f>
        <v>24128</v>
      </c>
      <c r="L5" s="69" t="str">
        <f>COUNTIF(L8:L42,"✓")&amp;" / "&amp;COUNTIFS(C8:C42,"&lt;&gt;Thursday",C8:C42,"&lt;&gt;",L8:L42,"&lt;&gt;Absent")&amp;" days goal hit"</f>
        <v>0 / 31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496</v>
      </c>
      <c r="J6" s="63">
        <f>IFERROR(I6*L3,0)</f>
        <v>28768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customHeight="1" x14ac:dyDescent="0.25">
      <c r="A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>1</v>
      </c>
      <c r="B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>46266</v>
      </c>
      <c r="C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>Tuesday</v>
      </c>
      <c r="D9" s="47">
        <v>0</v>
      </c>
      <c r="E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8</v>
      </c>
      <c r="G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16</v>
      </c>
      <c r="H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>0%</v>
      </c>
      <c r="I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16</v>
      </c>
      <c r="K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928</v>
      </c>
      <c r="L9" s="49"/>
      <c r="M9" s="49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2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46267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46268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4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46269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5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46270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6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46271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7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46272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8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46273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9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46274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46275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11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46276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12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46277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13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46278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14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46279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15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46280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16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46281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46282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18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46283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19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46284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20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46285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21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46286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22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46287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23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46288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46289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25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46290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26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46291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27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46292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28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46293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29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46294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30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46295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hidden="1" customHeight="1" x14ac:dyDescent="0.25">
      <c r="A3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/>
      </c>
      <c r="B3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/>
      </c>
      <c r="C3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/>
      </c>
      <c r="D39" s="32">
        <v>0</v>
      </c>
      <c r="E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/>
      </c>
      <c r="I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34"/>
      <c r="M39" s="35"/>
    </row>
    <row r="40" spans="1:13" ht="21.75" hidden="1" customHeight="1" x14ac:dyDescent="0.25">
      <c r="A4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/>
      </c>
      <c r="B4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/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/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0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0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/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0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0</v>
      </c>
      <c r="L40" s="34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Sep 6)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80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80</v>
      </c>
      <c r="K43" s="50">
        <f>SUMIFS(K8:K14,C8:C14,"&lt;&gt;Thursday",C8:C14,"&lt;&gt;",L8:L14,"&lt;&gt;Absent")</f>
        <v>4640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Sep 7 – Sun Sep 13)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Sep 14 – Sun Sep 20)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Sep 21 – Sun Sep 27)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Sep 28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48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48</v>
      </c>
      <c r="K47" s="50">
        <f>SUMIFS(K36:K42,C36:C42,"&lt;&gt;Thursday",C36:C42,"&lt;&gt;",L36:L42,"&lt;&gt;Absent")</f>
        <v>2784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September 2026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416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416</v>
      </c>
      <c r="K48" s="57">
        <f>SUMIFS(K8:K42,C8:C42,"&lt;&gt;Thursday",C8:C42,"&lt;&gt;",L8:L42,"&lt;&gt;Absent")</f>
        <v>24128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95" priority="2">
      <formula>$B8=TODAY()</formula>
    </cfRule>
    <cfRule type="expression" dxfId="94" priority="3">
      <formula>$L8="Absent"</formula>
    </cfRule>
  </conditionalFormatting>
  <conditionalFormatting sqref="D8:M42">
    <cfRule type="expression" dxfId="93" priority="10">
      <formula>AND($E8&gt;=1000,$C8&lt;&gt;"",$C8&lt;&gt;"Thursday",$L8&lt;&gt;"Absent")</formula>
    </cfRule>
    <cfRule type="expression" dxfId="92" priority="11">
      <formula>AND($E8&gt;=500,$E8&lt;1000,$C8&lt;&gt;"",$C8&lt;&gt;"Thursday",$L8&lt;&gt;"Absent")</formula>
    </cfRule>
  </conditionalFormatting>
  <conditionalFormatting sqref="L8:L42">
    <cfRule type="expression" dxfId="91" priority="44">
      <formula>AND($J8&gt;=$J$3,$C8&lt;&gt;"Thursday",$C8&lt;&gt;"",$L8&lt;&gt;"Absent")</formula>
    </cfRule>
    <cfRule type="expression" dxfId="90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0900-000000000000}">
      <formula1>"Absent"</formula1>
      <formula2>0</formula2>
    </dataValidation>
    <dataValidation type="list" sqref="C3" xr:uid="{00000000-0002-0000-0900-000001000000}">
      <formula1>"January,February,March,April,May,June,July,August,September,October,November,December"</formula1>
      <formula2>0</formula2>
    </dataValidation>
    <dataValidation type="list" sqref="D3" xr:uid="{00000000-0002-0000-0900-000002000000}">
      <formula1>"2025,2026,2027,2028,2029,2030"</formula1>
      <formula2>0</formula2>
    </dataValidation>
    <dataValidation type="list" sqref="C4" xr:uid="{00000000-0002-0000-09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57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416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416</v>
      </c>
      <c r="K5" s="24">
        <f>SUMIFS(K8:K42,K8:K42,"&lt;&gt;0",C8:C42,"&lt;&gt;Thursday",C8:C42,"&lt;&gt;",L8:L42,"&lt;&gt;Absent")</f>
        <v>24128</v>
      </c>
      <c r="L5" s="69" t="str">
        <f>COUNTIF(L8:L42,"✓")&amp;" / "&amp;COUNTIFS(C8:C42,"&lt;&gt;Thursday",C8:C42,"&lt;&gt;",L8:L42,"&lt;&gt;Absent")&amp;" days goal hit"</f>
        <v>0 / 30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480</v>
      </c>
      <c r="J6" s="63">
        <f>IFERROR(I6*L3,0)</f>
        <v>27840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46296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2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46297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3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46298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4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46299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5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46300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6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46301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7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46302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46303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9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46304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10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46305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11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46306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12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46307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13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46308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14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46309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46310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16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46311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17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46312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18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46313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19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46314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20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46315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21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46316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46317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23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46318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24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46319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25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46320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26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46321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27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46322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28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46323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46324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30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46325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31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46326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Oct 4)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48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48</v>
      </c>
      <c r="K43" s="50">
        <f>SUMIFS(K8:K14,C8:C14,"&lt;&gt;Thursday",C8:C14,"&lt;&gt;",L8:L14,"&lt;&gt;Absent")</f>
        <v>2784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Oct 5 – Sun Oct 11)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Oct 12 – Sun Oct 18)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Oct 19 – Sun Oct 25)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Oct 26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80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80</v>
      </c>
      <c r="K47" s="50">
        <f>SUMIFS(K36:K42,C36:C42,"&lt;&gt;Thursday",C36:C42,"&lt;&gt;",L36:L42,"&lt;&gt;Absent")</f>
        <v>4640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October 2026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416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416</v>
      </c>
      <c r="K48" s="57">
        <f>SUMIFS(K8:K42,C8:C42,"&lt;&gt;Thursday",C8:C42,"&lt;&gt;",L8:L42,"&lt;&gt;Absent")</f>
        <v>24128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89" priority="2">
      <formula>$B8=TODAY()</formula>
    </cfRule>
    <cfRule type="expression" dxfId="88" priority="3">
      <formula>$L8="Absent"</formula>
    </cfRule>
  </conditionalFormatting>
  <conditionalFormatting sqref="D8:M42">
    <cfRule type="expression" dxfId="87" priority="10">
      <formula>AND($E8&gt;=1000,$C8&lt;&gt;"",$C8&lt;&gt;"Thursday",$L8&lt;&gt;"Absent")</formula>
    </cfRule>
    <cfRule type="expression" dxfId="86" priority="11">
      <formula>AND($E8&gt;=500,$E8&lt;1000,$C8&lt;&gt;"",$C8&lt;&gt;"Thursday",$L8&lt;&gt;"Absent")</formula>
    </cfRule>
  </conditionalFormatting>
  <conditionalFormatting sqref="L8:L42">
    <cfRule type="expression" dxfId="85" priority="44">
      <formula>AND($J8&gt;=$J$3,$C8&lt;&gt;"Thursday",$C8&lt;&gt;"",$L8&lt;&gt;"Absent")</formula>
    </cfRule>
    <cfRule type="expression" dxfId="84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0A00-000000000000}">
      <formula1>"Absent"</formula1>
      <formula2>0</formula2>
    </dataValidation>
    <dataValidation type="list" sqref="C3" xr:uid="{00000000-0002-0000-0A00-000001000000}">
      <formula1>"January,February,March,April,May,June,July,August,September,October,November,December"</formula1>
      <formula2>0</formula2>
    </dataValidation>
    <dataValidation type="list" sqref="D3" xr:uid="{00000000-0002-0000-0A00-000002000000}">
      <formula1>"2025,2026,2027,2028,2029,2030"</formula1>
      <formula2>0</formula2>
    </dataValidation>
    <dataValidation type="list" sqref="C4" xr:uid="{00000000-0002-0000-0A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6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58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SUMIFS(D8:D49,D8:D49,"&lt;&gt;0",C8:C49,"&lt;&gt;Thursday",C8:C49,"&lt;&gt;",L8:L49,"&lt;&gt;Absent")</f>
        <v>0</v>
      </c>
      <c r="E5" s="24">
        <f>SUMIFS(E8:E49,E8:E49,"&lt;&gt;0",C8:C49,"&lt;&gt;Thursday",C8:C49,"&lt;&gt;",L8:L49,"&lt;&gt;Absent")</f>
        <v>0</v>
      </c>
      <c r="F5" s="25"/>
      <c r="G5" s="24">
        <f>SUMIFS(G8:G49,G8:G49,"&lt;&gt;0",C8:C49,"&lt;&gt;Thursday",C8:C49,"&lt;&gt;",L8:L49,"&lt;&gt;Absent")</f>
        <v>416</v>
      </c>
      <c r="H5" s="25"/>
      <c r="I5" s="24">
        <f>SUMIFS(I8:I49,I8:I49,"&lt;&gt;0",C8:C49,"&lt;&gt;Thursday",C8:C49,"&lt;&gt;",L8:L49,"&lt;&gt;Absent")</f>
        <v>0</v>
      </c>
      <c r="J5" s="24">
        <f>SUMIFS(J8:J49,J8:J49,"&lt;&gt;0",C8:C49,"&lt;&gt;Thursday",C8:C49,"&lt;&gt;",L8:L49,"&lt;&gt;Absent")</f>
        <v>416</v>
      </c>
      <c r="K5" s="24">
        <f>SUMIFS(K8:K49,K8:K49,"&lt;&gt;0",C8:C49,"&lt;&gt;Thursday",C8:C49,"&lt;&gt;",L8:L49,"&lt;&gt;Absent")</f>
        <v>24128</v>
      </c>
      <c r="L5" s="69" t="str">
        <f>COUNTIF(L8:L49,"✓")&amp;" / "&amp;COUNTIFS(C8:C49,"&lt;&gt;Thursday",C8:C49,"&lt;&gt;",L8:L49,"&lt;&gt;Absent")&amp;" days goal hit"</f>
        <v>0 / 38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IF(MAX(D8:D49)=0,"—",MAX(D8:D49))</f>
        <v>—</v>
      </c>
      <c r="E6" s="26" t="str">
        <f>IF(MAX(E8:E49)=0,"—",MAX(E8:E49))</f>
        <v>—</v>
      </c>
      <c r="F6" s="62" t="s">
        <v>34</v>
      </c>
      <c r="G6" s="62"/>
      <c r="H6" s="27">
        <f>IFERROR(J5/MAX(1,COUNTIFS(C8:C49,"&lt;&gt;Thursday",J8:J49,"&lt;&gt;0",L8:L49,"&lt;&gt;Absent")),0)</f>
        <v>16</v>
      </c>
      <c r="I6" s="28">
        <f>IFERROR(J5/MAX(1,COUNTIFS(C8:C49,"&lt;&gt;Thursday",J8:J49,"&lt;&gt;0",L8:L49,"&lt;&gt;Absent"))*COUNTIFS(C8:C49,"&lt;&gt;Thursday",B8:B49,"&lt;&gt;",L8:L49,"&lt;&gt;Absent"),0)</f>
        <v>608</v>
      </c>
      <c r="J6" s="63">
        <f>IFERROR(I6*L3,0)</f>
        <v>35264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hidden="1" customHeight="1" x14ac:dyDescent="0.25">
      <c r="A1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/>
      </c>
      <c r="B1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/>
      </c>
      <c r="C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/>
      </c>
      <c r="D11" s="32">
        <v>0</v>
      </c>
      <c r="E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/>
      </c>
      <c r="I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34"/>
      <c r="M11" s="35"/>
    </row>
    <row r="12" spans="1:13" ht="21.75" hidden="1" customHeight="1" x14ac:dyDescent="0.25">
      <c r="A1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/>
      </c>
      <c r="B1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/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/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0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0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/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0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0</v>
      </c>
      <c r="L12" s="34"/>
      <c r="M12" s="35"/>
    </row>
    <row r="13" spans="1:13" ht="21.75" hidden="1" customHeight="1" x14ac:dyDescent="0.25">
      <c r="A13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/>
      </c>
      <c r="B13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/>
      </c>
      <c r="C13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/>
      </c>
      <c r="D13" s="32">
        <v>0</v>
      </c>
      <c r="E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0</v>
      </c>
      <c r="G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0</v>
      </c>
      <c r="H13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/>
      </c>
      <c r="I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0</v>
      </c>
      <c r="K13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0</v>
      </c>
      <c r="L13" s="34"/>
      <c r="M13" s="35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1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46327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2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46328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3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46329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4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46330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46331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6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46332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7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46333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8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46334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9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46335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10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46336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11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46337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46338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13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46339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14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46340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15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46341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16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46342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17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46343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18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46344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46345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20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46346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21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46347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22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46348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23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46349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24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46350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25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46351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46352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27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46353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28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46354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customHeight="1" x14ac:dyDescent="0.25">
      <c r="A4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>29</v>
      </c>
      <c r="B4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>46355</v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>Sunday</v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8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16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>0%</v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16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928</v>
      </c>
      <c r="L42" s="35"/>
      <c r="M42" s="35"/>
    </row>
    <row r="43" spans="1:13" ht="21.75" customHeight="1" x14ac:dyDescent="0.25">
      <c r="A4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))</f>
        <v>30</v>
      </c>
      <c r="B4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</f>
        <v>46356</v>
      </c>
      <c r="C4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TEXT(B43,"DDDD"))</f>
        <v>Monday</v>
      </c>
      <c r="D43" s="47">
        <v>0</v>
      </c>
      <c r="E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IF(D43=0,0,D43*0.8),0)</f>
        <v>0</v>
      </c>
      <c r="F4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8,0)</f>
        <v>8</v>
      </c>
      <c r="G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F43*2,0)</f>
        <v>16</v>
      </c>
      <c r="H4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,"—",IF(L43="Absent","Absent",IF(E43=0,"0%",IF(E43&lt;500,"3%",IF(E43&lt;1000,"4%","5%"))))))</f>
        <v>0%</v>
      </c>
      <c r="I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IF(E43=0,0,IF(E43&lt;500,E43*0.03,IF(E43&lt;1000,E43*0.04,E43*0.05))),0)</f>
        <v>0</v>
      </c>
      <c r="J4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G43+I43,0)</f>
        <v>16</v>
      </c>
      <c r="K4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J43*$L$3,0)</f>
        <v>928</v>
      </c>
      <c r="L43" s="49"/>
      <c r="M43" s="49"/>
    </row>
    <row r="44" spans="1:13" ht="21.75" hidden="1" customHeight="1" x14ac:dyDescent="0.25">
      <c r="A44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))</f>
        <v/>
      </c>
      <c r="B44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</f>
        <v/>
      </c>
      <c r="C4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TEXT(B44,"DDDD"))</f>
        <v/>
      </c>
      <c r="D44" s="32">
        <v>0</v>
      </c>
      <c r="E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IF(D44=0,0,D44*0.8),0)</f>
        <v>0</v>
      </c>
      <c r="F4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8,0)</f>
        <v>0</v>
      </c>
      <c r="G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F44*2,0)</f>
        <v>0</v>
      </c>
      <c r="H4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,"—",IF(L44="Absent","Absent",IF(E44=0,"0%",IF(E44&lt;500,"3%",IF(E44&lt;1000,"4%","5%"))))))</f>
        <v/>
      </c>
      <c r="I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IF(E44=0,0,IF(E44&lt;500,E44*0.03,IF(E44&lt;1000,E44*0.04,E44*0.05))),0)</f>
        <v>0</v>
      </c>
      <c r="J4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G44+I44,0)</f>
        <v>0</v>
      </c>
      <c r="K4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J44*$L$3,0)</f>
        <v>0</v>
      </c>
      <c r="L44" s="34"/>
      <c r="M44" s="35"/>
    </row>
    <row r="45" spans="1:13" ht="21.75" hidden="1" customHeight="1" x14ac:dyDescent="0.25">
      <c r="A45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))</f>
        <v/>
      </c>
      <c r="B45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</f>
        <v/>
      </c>
      <c r="C45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TEXT(B45,"DDDD"))</f>
        <v/>
      </c>
      <c r="D45" s="32">
        <v>0</v>
      </c>
      <c r="E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IF(D45=0,0,D45*0.8),0)</f>
        <v>0</v>
      </c>
      <c r="F45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8,0)</f>
        <v>0</v>
      </c>
      <c r="G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F45*2,0)</f>
        <v>0</v>
      </c>
      <c r="H45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,"—",IF(L45="Absent","Absent",IF(E45=0,"0%",IF(E45&lt;500,"3%",IF(E45&lt;1000,"4%","5%"))))))</f>
        <v/>
      </c>
      <c r="I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IF(E45=0,0,IF(E45&lt;500,E45*0.03,IF(E45&lt;1000,E45*0.04,E45*0.05))),0)</f>
        <v>0</v>
      </c>
      <c r="J45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G45+I45,0)</f>
        <v>0</v>
      </c>
      <c r="K45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J45*$L$3,0)</f>
        <v>0</v>
      </c>
      <c r="L45" s="34"/>
      <c r="M45" s="35"/>
    </row>
    <row r="46" spans="1:13" ht="21.75" hidden="1" customHeight="1" x14ac:dyDescent="0.25">
      <c r="A46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))</f>
        <v/>
      </c>
      <c r="B46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</f>
        <v/>
      </c>
      <c r="C4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TEXT(B46,"DDDD"))</f>
        <v/>
      </c>
      <c r="D46" s="32">
        <v>0</v>
      </c>
      <c r="E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IF(D46=0,0,D46*0.8),0)</f>
        <v>0</v>
      </c>
      <c r="F4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8,0)</f>
        <v>0</v>
      </c>
      <c r="G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F46*2,0)</f>
        <v>0</v>
      </c>
      <c r="H4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,"—",IF(L46="Absent","Absent",IF(E46=0,"0%",IF(E46&lt;500,"3%",IF(E46&lt;1000,"4%","5%"))))))</f>
        <v/>
      </c>
      <c r="I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IF(E46=0,0,IF(E46&lt;500,E46*0.03,IF(E46&lt;1000,E46*0.04,E46*0.05))),0)</f>
        <v>0</v>
      </c>
      <c r="J4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G46+I46,0)</f>
        <v>0</v>
      </c>
      <c r="K4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J46*$L$3,0)</f>
        <v>0</v>
      </c>
      <c r="L46" s="34"/>
      <c r="M46" s="35"/>
    </row>
    <row r="47" spans="1:13" ht="21.75" hidden="1" customHeight="1" x14ac:dyDescent="0.25">
      <c r="A47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))</f>
        <v/>
      </c>
      <c r="B47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</f>
        <v/>
      </c>
      <c r="C47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TEXT(B47,"DDDD"))</f>
        <v/>
      </c>
      <c r="D47" s="32">
        <v>0</v>
      </c>
      <c r="E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IF(D47=0,0,D47*0.8),0)</f>
        <v>0</v>
      </c>
      <c r="F47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8,0)</f>
        <v>0</v>
      </c>
      <c r="G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F47*2,0)</f>
        <v>0</v>
      </c>
      <c r="H47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,"—",IF(L47="Absent","Absent",IF(E47=0,"0%",IF(E47&lt;500,"3%",IF(E47&lt;1000,"4%","5%"))))))</f>
        <v/>
      </c>
      <c r="I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IF(E47=0,0,IF(E47&lt;500,E47*0.03,IF(E47&lt;1000,E47*0.04,E47*0.05))),0)</f>
        <v>0</v>
      </c>
      <c r="J47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G47+I47,0)</f>
        <v>0</v>
      </c>
      <c r="K47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J47*$L$3,0)</f>
        <v>0</v>
      </c>
      <c r="L47" s="34"/>
      <c r="M47" s="35"/>
    </row>
    <row r="48" spans="1:13" ht="21.75" hidden="1" customHeight="1" x14ac:dyDescent="0.25">
      <c r="A4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))</f>
        <v/>
      </c>
      <c r="B4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</f>
        <v/>
      </c>
      <c r="C4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TEXT(B48,"DDDD"))</f>
        <v/>
      </c>
      <c r="D48" s="32">
        <v>0</v>
      </c>
      <c r="E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IF(D48=0,0,D48*0.8),0)</f>
        <v>0</v>
      </c>
      <c r="F4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8,0)</f>
        <v>0</v>
      </c>
      <c r="G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F48*2,0)</f>
        <v>0</v>
      </c>
      <c r="H4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,"—",IF(L48="Absent","Absent",IF(E48=0,"0%",IF(E48&lt;500,"3%",IF(E48&lt;1000,"4%","5%"))))))</f>
        <v/>
      </c>
      <c r="I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IF(E48=0,0,IF(E48&lt;500,E48*0.03,IF(E48&lt;1000,E48*0.04,E48*0.05))),0)</f>
        <v>0</v>
      </c>
      <c r="J4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G48+I48,0)</f>
        <v>0</v>
      </c>
      <c r="K4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J48*$L$3,0)</f>
        <v>0</v>
      </c>
      <c r="L48" s="34"/>
      <c r="M48" s="35"/>
    </row>
    <row r="49" spans="1:13" ht="21.75" hidden="1" customHeight="1" x14ac:dyDescent="0.25">
      <c r="A4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))</f>
        <v/>
      </c>
      <c r="B4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</f>
        <v/>
      </c>
      <c r="C4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TEXT(B49,"DDDD"))</f>
        <v/>
      </c>
      <c r="D49" s="32">
        <v>0</v>
      </c>
      <c r="E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IF(D49=0,0,D49*0.8),0)</f>
        <v>0</v>
      </c>
      <c r="F4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8,0)</f>
        <v>0</v>
      </c>
      <c r="G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F49*2,0)</f>
        <v>0</v>
      </c>
      <c r="H4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,"—",IF(L49="Absent","Absent",IF(E49=0,"0%",IF(E49&lt;500,"3%",IF(E49&lt;1000,"4%","5%"))))))</f>
        <v/>
      </c>
      <c r="I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IF(E49=0,0,IF(E49&lt;500,E49*0.03,IF(E49&lt;1000,E49*0.04,E49*0.05))),0)</f>
        <v>0</v>
      </c>
      <c r="J4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G49+I49,0)</f>
        <v>0</v>
      </c>
      <c r="K4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J49*$L$3,0)</f>
        <v>0</v>
      </c>
      <c r="L49" s="34"/>
      <c r="M49" s="35"/>
    </row>
    <row r="50" spans="1:13" ht="24" customHeight="1" x14ac:dyDescent="0.25">
      <c r="A50" s="60" t="str">
        <f>IF(COUNTIFS(C8:C14,"&lt;&gt;")=0,"","WEEK 1  (Mon "&amp;TEXT(B8,"MMM D")&amp;" – Sun "&amp;TEXT(B14,"MMM D")&amp;")")</f>
        <v>WEEK 1  (Mon  – Sun Nov 1)</v>
      </c>
      <c r="B50" s="60"/>
      <c r="C50" s="60"/>
      <c r="D50" s="50">
        <f>SUMIFS(D8:D14,C8:C14,"&lt;&gt;Thursday",C8:C14,"&lt;&gt;",L8:L14,"&lt;&gt;Absent")</f>
        <v>0</v>
      </c>
      <c r="E50" s="50">
        <f>SUMIFS(E8:E14,C8:C14,"&lt;&gt;Thursday",C8:C14,"&lt;&gt;",L8:L14,"&lt;&gt;Absent")</f>
        <v>0</v>
      </c>
      <c r="F50" s="51"/>
      <c r="G50" s="50">
        <f>SUMIFS(G8:G14,C8:C14,"&lt;&gt;Thursday",C8:C14,"&lt;&gt;",L8:L14,"&lt;&gt;Absent")</f>
        <v>16</v>
      </c>
      <c r="H50" s="51"/>
      <c r="I50" s="50">
        <f>SUMIFS(I8:I14,C8:C14,"&lt;&gt;Thursday",C8:C14,"&lt;&gt;",L8:L14,"&lt;&gt;Absent")</f>
        <v>0</v>
      </c>
      <c r="J50" s="52">
        <f>SUMIFS(J8:J14,C8:C14,"&lt;&gt;Thursday",C8:C14,"&lt;&gt;",L8:L14,"&lt;&gt;Absent")</f>
        <v>16</v>
      </c>
      <c r="K50" s="50">
        <f>SUMIFS(K8:K14,C8:C14,"&lt;&gt;Thursday",C8:C14,"&lt;&gt;",L8:L14,"&lt;&gt;Absent")</f>
        <v>928</v>
      </c>
      <c r="L50" s="53" t="str">
        <f>IF(COUNTIFS(C8:C14,"&lt;&gt;")=0,"",COUNTIF(L8:L14,"✓")&amp;" hits  |  "&amp;COUNTIF(L8:L14,"Absent")&amp;" absent")</f>
        <v>0 hits  |  0 absent</v>
      </c>
      <c r="M50" s="51"/>
    </row>
    <row r="51" spans="1:13" ht="24" customHeight="1" x14ac:dyDescent="0.25">
      <c r="A51" s="60" t="str">
        <f>IF(COUNTIFS(C15:C21,"&lt;&gt;")=0,"","WEEK 2  (Mon "&amp;TEXT(B15,"MMM D")&amp;" – Sun "&amp;TEXT(B21,"MMM D")&amp;")")</f>
        <v>WEEK 2  (Mon Nov 2 – Sun Nov 8)</v>
      </c>
      <c r="B51" s="60"/>
      <c r="C51" s="60"/>
      <c r="D51" s="50">
        <f>SUMIFS(D15:D21,C15:C21,"&lt;&gt;Thursday",C15:C21,"&lt;&gt;",L15:L21,"&lt;&gt;Absent")</f>
        <v>0</v>
      </c>
      <c r="E51" s="50">
        <f>SUMIFS(E15:E21,C15:C21,"&lt;&gt;Thursday",C15:C21,"&lt;&gt;",L15:L21,"&lt;&gt;Absent")</f>
        <v>0</v>
      </c>
      <c r="F51" s="51"/>
      <c r="G51" s="50">
        <f>SUMIFS(G15:G21,C15:C21,"&lt;&gt;Thursday",C15:C21,"&lt;&gt;",L15:L21,"&lt;&gt;Absent")</f>
        <v>96</v>
      </c>
      <c r="H51" s="51"/>
      <c r="I51" s="50">
        <f>SUMIFS(I15:I21,C15:C21,"&lt;&gt;Thursday",C15:C21,"&lt;&gt;",L15:L21,"&lt;&gt;Absent")</f>
        <v>0</v>
      </c>
      <c r="J51" s="52">
        <f>SUMIFS(J15:J21,C15:C21,"&lt;&gt;Thursday",C15:C21,"&lt;&gt;",L15:L21,"&lt;&gt;Absent")</f>
        <v>96</v>
      </c>
      <c r="K51" s="50">
        <f>SUMIFS(K15:K21,C15:C21,"&lt;&gt;Thursday",C15:C21,"&lt;&gt;",L15:L21,"&lt;&gt;Absent")</f>
        <v>5568</v>
      </c>
      <c r="L51" s="53" t="str">
        <f>IF(COUNTIFS(C15:C21,"&lt;&gt;")=0,"",COUNTIF(L15:L21,"✓")&amp;" hits  |  "&amp;COUNTIF(L15:L21,"Absent")&amp;" absent")</f>
        <v>0 hits  |  0 absent</v>
      </c>
      <c r="M51" s="51"/>
    </row>
    <row r="52" spans="1:13" ht="24" customHeight="1" x14ac:dyDescent="0.25">
      <c r="A52" s="60" t="str">
        <f>IF(COUNTIFS(C22:C28,"&lt;&gt;")=0,"","WEEK 3  (Mon "&amp;TEXT(B22,"MMM D")&amp;" – Sun "&amp;TEXT(B28,"MMM D")&amp;")")</f>
        <v>WEEK 3  (Mon Nov 9 – Sun Nov 15)</v>
      </c>
      <c r="B52" s="60"/>
      <c r="C52" s="60"/>
      <c r="D52" s="50">
        <f>SUMIFS(D22:D28,C22:C28,"&lt;&gt;Thursday",C22:C28,"&lt;&gt;",L22:L28,"&lt;&gt;Absent")</f>
        <v>0</v>
      </c>
      <c r="E52" s="50">
        <f>SUMIFS(E22:E28,C22:C28,"&lt;&gt;Thursday",C22:C28,"&lt;&gt;",L22:L28,"&lt;&gt;Absent")</f>
        <v>0</v>
      </c>
      <c r="F52" s="51"/>
      <c r="G52" s="50">
        <f>SUMIFS(G22:G28,C22:C28,"&lt;&gt;Thursday",C22:C28,"&lt;&gt;",L22:L28,"&lt;&gt;Absent")</f>
        <v>96</v>
      </c>
      <c r="H52" s="51"/>
      <c r="I52" s="50">
        <f>SUMIFS(I22:I28,C22:C28,"&lt;&gt;Thursday",C22:C28,"&lt;&gt;",L22:L28,"&lt;&gt;Absent")</f>
        <v>0</v>
      </c>
      <c r="J52" s="52">
        <f>SUMIFS(J22:J28,C22:C28,"&lt;&gt;Thursday",C22:C28,"&lt;&gt;",L22:L28,"&lt;&gt;Absent")</f>
        <v>96</v>
      </c>
      <c r="K52" s="50">
        <f>SUMIFS(K22:K28,C22:C28,"&lt;&gt;Thursday",C22:C28,"&lt;&gt;",L22:L28,"&lt;&gt;Absent")</f>
        <v>5568</v>
      </c>
      <c r="L52" s="53" t="str">
        <f>IF(COUNTIFS(C22:C28,"&lt;&gt;")=0,"",COUNTIF(L22:L28,"✓")&amp;" hits  |  "&amp;COUNTIF(L22:L28,"Absent")&amp;" absent")</f>
        <v>0 hits  |  0 absent</v>
      </c>
      <c r="M52" s="51"/>
    </row>
    <row r="53" spans="1:13" ht="24" customHeight="1" x14ac:dyDescent="0.25">
      <c r="A53" s="60" t="str">
        <f>IF(COUNTIFS(C29:C35,"&lt;&gt;")=0,"","WEEK 4  (Mon "&amp;TEXT(B29,"MMM D")&amp;" – Sun "&amp;TEXT(B35,"MMM D")&amp;")")</f>
        <v>WEEK 4  (Mon Nov 16 – Sun Nov 22)</v>
      </c>
      <c r="B53" s="60"/>
      <c r="C53" s="60"/>
      <c r="D53" s="50">
        <f>SUMIFS(D29:D35,C29:C35,"&lt;&gt;Thursday",C29:C35,"&lt;&gt;",L29:L35,"&lt;&gt;Absent")</f>
        <v>0</v>
      </c>
      <c r="E53" s="50">
        <f>SUMIFS(E29:E35,C29:C35,"&lt;&gt;Thursday",C29:C35,"&lt;&gt;",L29:L35,"&lt;&gt;Absent")</f>
        <v>0</v>
      </c>
      <c r="F53" s="51"/>
      <c r="G53" s="50">
        <f>SUMIFS(G29:G35,C29:C35,"&lt;&gt;Thursday",C29:C35,"&lt;&gt;",L29:L35,"&lt;&gt;Absent")</f>
        <v>96</v>
      </c>
      <c r="H53" s="51"/>
      <c r="I53" s="50">
        <f>SUMIFS(I29:I35,C29:C35,"&lt;&gt;Thursday",C29:C35,"&lt;&gt;",L29:L35,"&lt;&gt;Absent")</f>
        <v>0</v>
      </c>
      <c r="J53" s="52">
        <f>SUMIFS(J29:J35,C29:C35,"&lt;&gt;Thursday",C29:C35,"&lt;&gt;",L29:L35,"&lt;&gt;Absent")</f>
        <v>96</v>
      </c>
      <c r="K53" s="50">
        <f>SUMIFS(K29:K35,C29:C35,"&lt;&gt;Thursday",C29:C35,"&lt;&gt;",L29:L35,"&lt;&gt;Absent")</f>
        <v>5568</v>
      </c>
      <c r="L53" s="53" t="str">
        <f>IF(COUNTIFS(C29:C35,"&lt;&gt;")=0,"",COUNTIF(L29:L35,"✓")&amp;" hits  |  "&amp;COUNTIF(L29:L35,"Absent")&amp;" absent")</f>
        <v>0 hits  |  0 absent</v>
      </c>
      <c r="M53" s="51"/>
    </row>
    <row r="54" spans="1:13" ht="24" customHeight="1" x14ac:dyDescent="0.25">
      <c r="A54" s="60" t="str">
        <f>IF(COUNTIFS(C36:C42,"&lt;&gt;")=0,"","WEEK 5  (Mon "&amp;TEXT(B36,"MMM D")&amp;" – Sun "&amp;TEXT(B42,"MMM D")&amp;")")</f>
        <v>WEEK 5  (Mon Nov 23 – Sun Nov 29)</v>
      </c>
      <c r="B54" s="60"/>
      <c r="C54" s="60"/>
      <c r="D54" s="50">
        <f>SUMIFS(D36:D42,C36:C42,"&lt;&gt;Thursday",C36:C42,"&lt;&gt;",L36:L42,"&lt;&gt;Absent")</f>
        <v>0</v>
      </c>
      <c r="E54" s="50">
        <f>SUMIFS(E36:E42,C36:C42,"&lt;&gt;Thursday",C36:C42,"&lt;&gt;",L36:L42,"&lt;&gt;Absent")</f>
        <v>0</v>
      </c>
      <c r="F54" s="51"/>
      <c r="G54" s="50">
        <f>SUMIFS(G36:G42,C36:C42,"&lt;&gt;Thursday",C36:C42,"&lt;&gt;",L36:L42,"&lt;&gt;Absent")</f>
        <v>96</v>
      </c>
      <c r="H54" s="51"/>
      <c r="I54" s="50">
        <f>SUMIFS(I36:I42,C36:C42,"&lt;&gt;Thursday",C36:C42,"&lt;&gt;",L36:L42,"&lt;&gt;Absent")</f>
        <v>0</v>
      </c>
      <c r="J54" s="52">
        <f>SUMIFS(J36:J42,C36:C42,"&lt;&gt;Thursday",C36:C42,"&lt;&gt;",L36:L42,"&lt;&gt;Absent")</f>
        <v>96</v>
      </c>
      <c r="K54" s="50">
        <f>SUMIFS(K36:K42,C36:C42,"&lt;&gt;Thursday",C36:C42,"&lt;&gt;",L36:L42,"&lt;&gt;Absent")</f>
        <v>5568</v>
      </c>
      <c r="L54" s="53" t="str">
        <f>IF(COUNTIFS(C36:C42,"&lt;&gt;")=0,"",COUNTIF(L36:L42,"✓")&amp;" hits  |  "&amp;COUNTIF(L36:L42,"Absent")&amp;" absent")</f>
        <v>0 hits  |  0 absent</v>
      </c>
      <c r="M54" s="51"/>
    </row>
    <row r="55" spans="1:13" ht="24" customHeight="1" x14ac:dyDescent="0.25">
      <c r="A55" s="60" t="str">
        <f>IF(COUNTIFS(C43:C49,"&lt;&gt;")=0,"","WEEK 6  (Mon "&amp;TEXT(B43,"MMM D")&amp;" – Sun "&amp;TEXT(B49,"MMM D")&amp;")")</f>
        <v>WEEK 6  (Mon Nov 30 – Sun )</v>
      </c>
      <c r="B55" s="60"/>
      <c r="C55" s="60"/>
      <c r="D55" s="50">
        <f>SUMIFS(D43:D49,C43:C49,"&lt;&gt;Thursday",C43:C49,"&lt;&gt;",L43:L49,"&lt;&gt;Absent")</f>
        <v>0</v>
      </c>
      <c r="E55" s="50">
        <f>SUMIFS(E43:E49,C43:C49,"&lt;&gt;Thursday",C43:C49,"&lt;&gt;",L43:L49,"&lt;&gt;Absent")</f>
        <v>0</v>
      </c>
      <c r="F55" s="51"/>
      <c r="G55" s="50">
        <f>SUMIFS(G43:G49,C43:C49,"&lt;&gt;Thursday",C43:C49,"&lt;&gt;",L43:L49,"&lt;&gt;Absent")</f>
        <v>16</v>
      </c>
      <c r="H55" s="51"/>
      <c r="I55" s="50">
        <f>SUMIFS(I43:I49,C43:C49,"&lt;&gt;Thursday",C43:C49,"&lt;&gt;",L43:L49,"&lt;&gt;Absent")</f>
        <v>0</v>
      </c>
      <c r="J55" s="52">
        <f>SUMIFS(J43:J49,C43:C49,"&lt;&gt;Thursday",C43:C49,"&lt;&gt;",L43:L49,"&lt;&gt;Absent")</f>
        <v>16</v>
      </c>
      <c r="K55" s="50">
        <f>SUMIFS(K43:K49,C43:C49,"&lt;&gt;Thursday",C43:C49,"&lt;&gt;",L43:L49,"&lt;&gt;Absent")</f>
        <v>928</v>
      </c>
      <c r="L55" s="53" t="str">
        <f>IF(COUNTIFS(C43:C49,"&lt;&gt;")=0,"",COUNTIF(L43:L49,"✓")&amp;" hits  |  "&amp;COUNTIF(L43:L49,"Absent")&amp;" absent")</f>
        <v>0 hits  |  0 absent</v>
      </c>
      <c r="M55" s="51"/>
    </row>
    <row r="56" spans="1:13" ht="27.75" customHeight="1" x14ac:dyDescent="0.25">
      <c r="A56" s="59" t="str">
        <f>"MONTHLY TOTAL  —  "&amp;C3&amp;" "&amp;D3&amp;"  |  "&amp;C4</f>
        <v>MONTHLY TOTAL  —  November 2026  |  4:00 PM – 12:00 MN</v>
      </c>
      <c r="B56" s="59"/>
      <c r="C56" s="59"/>
      <c r="D56" s="54">
        <f>SUMIFS(D8:D49,C8:C49,"&lt;&gt;Thursday",C8:C49,"&lt;&gt;",L8:L49,"&lt;&gt;Absent")</f>
        <v>0</v>
      </c>
      <c r="E56" s="54">
        <f>SUMIFS(E8:E49,C8:C49,"&lt;&gt;Thursday",C8:C49,"&lt;&gt;",L8:L49,"&lt;&gt;Absent")</f>
        <v>0</v>
      </c>
      <c r="F56" s="55"/>
      <c r="G56" s="54">
        <f>SUMIFS(G8:G49,C8:C49,"&lt;&gt;Thursday",C8:C49,"&lt;&gt;",L8:L49,"&lt;&gt;Absent")</f>
        <v>416</v>
      </c>
      <c r="H56" s="55"/>
      <c r="I56" s="54">
        <f>SUMIFS(I8:I49,C8:C49,"&lt;&gt;Thursday",C8:C49,"&lt;&gt;",L8:L49,"&lt;&gt;Absent")</f>
        <v>0</v>
      </c>
      <c r="J56" s="56">
        <f>SUMIFS(J8:J49,C8:C49,"&lt;&gt;Thursday",C8:C49,"&lt;&gt;",L8:L49,"&lt;&gt;Absent")</f>
        <v>416</v>
      </c>
      <c r="K56" s="57">
        <f>SUMIFS(K8:K49,C8:C49,"&lt;&gt;Thursday",C8:C49,"&lt;&gt;",L8:L49,"&lt;&gt;Absent")</f>
        <v>24128</v>
      </c>
      <c r="L56" s="58" t="str">
        <f>COUNTIF(L8:L49,"Absent")&amp;" absences  |  "&amp;COUNTIF(L8:L49,"✓")&amp;" goals hit"</f>
        <v>0 absences  |  0 goals hit</v>
      </c>
      <c r="M56" s="55"/>
    </row>
  </sheetData>
  <mergeCells count="21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50:C50"/>
    <mergeCell ref="A56:C56"/>
    <mergeCell ref="A51:C51"/>
    <mergeCell ref="A52:C52"/>
    <mergeCell ref="A53:C53"/>
    <mergeCell ref="A54:C54"/>
    <mergeCell ref="A55:C55"/>
  </mergeCells>
  <conditionalFormatting sqref="A8:M49">
    <cfRule type="expression" dxfId="83" priority="2">
      <formula>$B8=TODAY()</formula>
    </cfRule>
    <cfRule type="expression" dxfId="82" priority="3">
      <formula>$L8="Absent"</formula>
    </cfRule>
  </conditionalFormatting>
  <conditionalFormatting sqref="D8:M49">
    <cfRule type="expression" dxfId="81" priority="10">
      <formula>AND($E8&gt;=1000,$C8&lt;&gt;"",$C8&lt;&gt;"Thursday",$L8&lt;&gt;"Absent")</formula>
    </cfRule>
    <cfRule type="expression" dxfId="80" priority="11">
      <formula>AND($E8&gt;=500,$E8&lt;1000,$C8&lt;&gt;"",$C8&lt;&gt;"Thursday",$L8&lt;&gt;"Absent")</formula>
    </cfRule>
  </conditionalFormatting>
  <conditionalFormatting sqref="L8:L49">
    <cfRule type="expression" dxfId="79" priority="44">
      <formula>AND($J8&gt;=$J$3,$C8&lt;&gt;"Thursday",$C8&lt;&gt;"",$L8&lt;&gt;"Absent")</formula>
    </cfRule>
    <cfRule type="expression" dxfId="78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9" xr:uid="{00000000-0002-0000-0B00-000000000000}">
      <formula1>"Absent"</formula1>
      <formula2>0</formula2>
    </dataValidation>
    <dataValidation type="list" sqref="C3" xr:uid="{00000000-0002-0000-0B00-000001000000}">
      <formula1>"January,February,March,April,May,June,July,August,September,October,November,December"</formula1>
      <formula2>0</formula2>
    </dataValidation>
    <dataValidation type="list" sqref="D3" xr:uid="{00000000-0002-0000-0B00-000002000000}">
      <formula1>"2025,2026,2027,2028,2029,2030"</formula1>
      <formula2>0</formula2>
    </dataValidation>
    <dataValidation type="list" sqref="C4" xr:uid="{00000000-0002-0000-0B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59</v>
      </c>
      <c r="D3" s="22" t="s">
        <v>24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416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416</v>
      </c>
      <c r="K5" s="24">
        <f>SUMIFS(K8:K42,K8:K42,"&lt;&gt;0",C8:C42,"&lt;&gt;Thursday",C8:C42,"&lt;&gt;",L8:L42,"&lt;&gt;Absent")</f>
        <v>24128</v>
      </c>
      <c r="L5" s="69" t="str">
        <f>COUNTIF(L8:L42,"✓")&amp;" / "&amp;COUNTIFS(C8:C42,"&lt;&gt;Thursday",C8:C42,"&lt;&gt;",L8:L42,"&lt;&gt;Absent")&amp;" days goal hit"</f>
        <v>0 / 30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480</v>
      </c>
      <c r="J6" s="63">
        <f>IFERROR(I6*L3,0)</f>
        <v>27840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customHeight="1" x14ac:dyDescent="0.25">
      <c r="A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>1</v>
      </c>
      <c r="B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>46357</v>
      </c>
      <c r="C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>Tuesday</v>
      </c>
      <c r="D9" s="47">
        <v>0</v>
      </c>
      <c r="E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8</v>
      </c>
      <c r="G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16</v>
      </c>
      <c r="H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>0%</v>
      </c>
      <c r="I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16</v>
      </c>
      <c r="K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928</v>
      </c>
      <c r="L9" s="49"/>
      <c r="M9" s="49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2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46358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46359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4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46360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5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46361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6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46362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7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46363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8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46364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9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46365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46366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11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46367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12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46368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13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46369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14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46370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15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46371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16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46372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46373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18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46374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19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46375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20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46376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21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46377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22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46378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23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46379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46380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25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46381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26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46382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27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46383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28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46384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29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46385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30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46386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46387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hidden="1" customHeight="1" x14ac:dyDescent="0.25">
      <c r="A4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/>
      </c>
      <c r="B4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/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/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0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0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/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0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0</v>
      </c>
      <c r="L40" s="34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Dec 6)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80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80</v>
      </c>
      <c r="K43" s="50">
        <f>SUMIFS(K8:K14,C8:C14,"&lt;&gt;Thursday",C8:C14,"&lt;&gt;",L8:L14,"&lt;&gt;Absent")</f>
        <v>4640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Dec 7 – Sun Dec 13)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Dec 14 – Sun Dec 20)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Dec 21 – Sun Dec 27)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Dec 28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48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48</v>
      </c>
      <c r="K47" s="50">
        <f>SUMIFS(K36:K42,C36:C42,"&lt;&gt;Thursday",C36:C42,"&lt;&gt;",L36:L42,"&lt;&gt;Absent")</f>
        <v>2784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December 2026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416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416</v>
      </c>
      <c r="K48" s="57">
        <f>SUMIFS(K8:K42,C8:C42,"&lt;&gt;Thursday",C8:C42,"&lt;&gt;",L8:L42,"&lt;&gt;Absent")</f>
        <v>24128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77" priority="2">
      <formula>$B8=TODAY()</formula>
    </cfRule>
    <cfRule type="expression" dxfId="76" priority="3">
      <formula>$L8="Absent"</formula>
    </cfRule>
  </conditionalFormatting>
  <conditionalFormatting sqref="D8:M42">
    <cfRule type="expression" dxfId="75" priority="10">
      <formula>AND($E8&gt;=1000,$C8&lt;&gt;"",$C8&lt;&gt;"Thursday",$L8&lt;&gt;"Absent")</formula>
    </cfRule>
    <cfRule type="expression" dxfId="74" priority="11">
      <formula>AND($E8&gt;=500,$E8&lt;1000,$C8&lt;&gt;"",$C8&lt;&gt;"Thursday",$L8&lt;&gt;"Absent")</formula>
    </cfRule>
  </conditionalFormatting>
  <conditionalFormatting sqref="L8:L42">
    <cfRule type="expression" dxfId="73" priority="44">
      <formula>AND($J8&gt;=$J$3,$C8&lt;&gt;"Thursday",$C8&lt;&gt;"",$L8&lt;&gt;"Absent")</formula>
    </cfRule>
    <cfRule type="expression" dxfId="72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0C00-000000000000}">
      <formula1>"Absent"</formula1>
      <formula2>0</formula2>
    </dataValidation>
    <dataValidation type="list" sqref="C3" xr:uid="{00000000-0002-0000-0C00-000001000000}">
      <formula1>"January,February,March,April,May,June,July,August,September,October,November,December"</formula1>
      <formula2>0</formula2>
    </dataValidation>
    <dataValidation type="list" sqref="D3" xr:uid="{00000000-0002-0000-0C00-000002000000}">
      <formula1>"2025,2026,2027,2028,2029,2030"</formula1>
      <formula2>0</formula2>
    </dataValidation>
    <dataValidation type="list" sqref="C4" xr:uid="{00000000-0002-0000-0C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23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432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432</v>
      </c>
      <c r="K5" s="24">
        <f>SUMIFS(K8:K42,K8:K42,"&lt;&gt;0",C8:C42,"&lt;&gt;Thursday",C8:C42,"&lt;&gt;",L8:L42,"&lt;&gt;Absent")</f>
        <v>25056</v>
      </c>
      <c r="L5" s="69" t="str">
        <f>COUNTIF(L8:L42,"✓")&amp;" / "&amp;COUNTIFS(C8:C42,"&lt;&gt;Thursday",C8:C42,"&lt;&gt;",L8:L42,"&lt;&gt;Absent")&amp;" days goal hit"</f>
        <v>0 / 31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496</v>
      </c>
      <c r="J6" s="63">
        <f>IFERROR(I6*L3,0)</f>
        <v>28768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hidden="1" customHeight="1" x14ac:dyDescent="0.25">
      <c r="A1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/>
      </c>
      <c r="B1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/>
      </c>
      <c r="C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/>
      </c>
      <c r="D11" s="32">
        <v>0</v>
      </c>
      <c r="E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/>
      </c>
      <c r="I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34"/>
      <c r="M11" s="35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1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46388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2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46389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3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46390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4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46391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5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46392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6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46393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46394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8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46395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9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46396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10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46397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11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46398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12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46399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13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46400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46401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15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46402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16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46403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17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46404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18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46405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19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46406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20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46407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46408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22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46409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23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46410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24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46411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25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46412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26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46413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27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46414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46415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29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46416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30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46417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customHeight="1" x14ac:dyDescent="0.25">
      <c r="A4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>31</v>
      </c>
      <c r="B4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>46418</v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>Sunday</v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8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16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>0%</v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16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928</v>
      </c>
      <c r="L42" s="35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Jan 3)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48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48</v>
      </c>
      <c r="K43" s="50">
        <f>SUMIFS(K8:K14,C8:C14,"&lt;&gt;Thursday",C8:C14,"&lt;&gt;",L8:L14,"&lt;&gt;Absent")</f>
        <v>2784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Jan 4 – Sun Jan 10)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Jan 11 – Sun Jan 17)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Jan 18 – Sun Jan 24)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Jan 25 – Sun Jan 31)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96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96</v>
      </c>
      <c r="K47" s="50">
        <f>SUMIFS(K36:K42,C36:C42,"&lt;&gt;Thursday",C36:C42,"&lt;&gt;",L36:L42,"&lt;&gt;Absent")</f>
        <v>5568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January 2027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432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432</v>
      </c>
      <c r="K48" s="57">
        <f>SUMIFS(K8:K42,C8:C42,"&lt;&gt;Thursday",C8:C42,"&lt;&gt;",L8:L42,"&lt;&gt;Absent")</f>
        <v>25056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71" priority="2">
      <formula>$B8=TODAY()</formula>
    </cfRule>
    <cfRule type="expression" dxfId="70" priority="3">
      <formula>$L8="Absent"</formula>
    </cfRule>
  </conditionalFormatting>
  <conditionalFormatting sqref="D8:M42">
    <cfRule type="expression" dxfId="69" priority="10">
      <formula>AND($E8&gt;=1000,$C8&lt;&gt;"",$C8&lt;&gt;"Thursday",$L8&lt;&gt;"Absent")</formula>
    </cfRule>
    <cfRule type="expression" dxfId="68" priority="11">
      <formula>AND($E8&gt;=500,$E8&lt;1000,$C8&lt;&gt;"",$C8&lt;&gt;"Thursday",$L8&lt;&gt;"Absent")</formula>
    </cfRule>
  </conditionalFormatting>
  <conditionalFormatting sqref="L8:L42">
    <cfRule type="expression" dxfId="67" priority="44">
      <formula>AND($J8&gt;=$J$3,$C8&lt;&gt;"Thursday",$C8&lt;&gt;"",$L8&lt;&gt;"Absent")</formula>
    </cfRule>
    <cfRule type="expression" dxfId="66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0D00-000000000000}">
      <formula1>"Absent"</formula1>
      <formula2>0</formula2>
    </dataValidation>
    <dataValidation type="list" sqref="C3" xr:uid="{00000000-0002-0000-0D00-000001000000}">
      <formula1>"January,February,March,April,May,June,July,August,September,October,November,December"</formula1>
      <formula2>0</formula2>
    </dataValidation>
    <dataValidation type="list" sqref="D3" xr:uid="{00000000-0002-0000-0D00-000002000000}">
      <formula1>"2025,2026,2027,2028,2029,2030"</formula1>
      <formula2>0</formula2>
    </dataValidation>
    <dataValidation type="list" sqref="C4" xr:uid="{00000000-0002-0000-0D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0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49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SUMIFS(D8:D35,D8:D35,"&lt;&gt;0",C8:C35,"&lt;&gt;Thursday",C8:C35,"&lt;&gt;",L8:L35,"&lt;&gt;Absent")</f>
        <v>0</v>
      </c>
      <c r="E5" s="24">
        <f>SUMIFS(E8:E35,E8:E35,"&lt;&gt;0",C8:C35,"&lt;&gt;Thursday",C8:C35,"&lt;&gt;",L8:L35,"&lt;&gt;Absent")</f>
        <v>0</v>
      </c>
      <c r="F5" s="25"/>
      <c r="G5" s="24">
        <f>SUMIFS(G8:G35,G8:G35,"&lt;&gt;0",C8:C35,"&lt;&gt;Thursday",C8:C35,"&lt;&gt;",L8:L35,"&lt;&gt;Absent")</f>
        <v>384</v>
      </c>
      <c r="H5" s="25"/>
      <c r="I5" s="24">
        <f>SUMIFS(I8:I35,I8:I35,"&lt;&gt;0",C8:C35,"&lt;&gt;Thursday",C8:C35,"&lt;&gt;",L8:L35,"&lt;&gt;Absent")</f>
        <v>0</v>
      </c>
      <c r="J5" s="24">
        <f>SUMIFS(J8:J35,J8:J35,"&lt;&gt;0",C8:C35,"&lt;&gt;Thursday",C8:C35,"&lt;&gt;",L8:L35,"&lt;&gt;Absent")</f>
        <v>384</v>
      </c>
      <c r="K5" s="24">
        <f>SUMIFS(K8:K35,K8:K35,"&lt;&gt;0",C8:C35,"&lt;&gt;Thursday",C8:C35,"&lt;&gt;",L8:L35,"&lt;&gt;Absent")</f>
        <v>22272</v>
      </c>
      <c r="L5" s="69" t="str">
        <f>COUNTIF(L8:L35,"✓")&amp;" / "&amp;COUNTIFS(C8:C35,"&lt;&gt;Thursday",C8:C35,"&lt;&gt;",L8:L35,"&lt;&gt;Absent")&amp;" days goal hit"</f>
        <v>0 / 24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IF(MAX(D8:D35)=0,"—",MAX(D8:D35))</f>
        <v>—</v>
      </c>
      <c r="E6" s="26" t="str">
        <f>IF(MAX(E8:E35)=0,"—",MAX(E8:E35))</f>
        <v>—</v>
      </c>
      <c r="F6" s="62" t="s">
        <v>34</v>
      </c>
      <c r="G6" s="62"/>
      <c r="H6" s="27">
        <f>IFERROR(J5/MAX(1,COUNTIFS(C8:C35,"&lt;&gt;Thursday",J8:J35,"&lt;&gt;0",L8:L35,"&lt;&gt;Absent")),0)</f>
        <v>16</v>
      </c>
      <c r="I6" s="28">
        <f>IFERROR(J5/MAX(1,COUNTIFS(C8:C35,"&lt;&gt;Thursday",J8:J35,"&lt;&gt;0",L8:L35,"&lt;&gt;Absent"))*COUNTIFS(C8:C35,"&lt;&gt;Thursday",B8:B35,"&lt;&gt;",L8:L35,"&lt;&gt;Absent"),0)</f>
        <v>384</v>
      </c>
      <c r="J6" s="63">
        <f>IFERROR(I6*L3,0)</f>
        <v>22272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customHeight="1" x14ac:dyDescent="0.25">
      <c r="A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>1</v>
      </c>
      <c r="B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>46419</v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>Monday</v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8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16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>0%</v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16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928</v>
      </c>
      <c r="L8" s="35"/>
      <c r="M8" s="35"/>
    </row>
    <row r="9" spans="1:13" ht="21.75" customHeight="1" x14ac:dyDescent="0.25">
      <c r="A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>2</v>
      </c>
      <c r="B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>46420</v>
      </c>
      <c r="C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>Tuesday</v>
      </c>
      <c r="D9" s="47">
        <v>0</v>
      </c>
      <c r="E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8</v>
      </c>
      <c r="G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16</v>
      </c>
      <c r="H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>0%</v>
      </c>
      <c r="I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16</v>
      </c>
      <c r="K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928</v>
      </c>
      <c r="L9" s="49"/>
      <c r="M9" s="49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3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46421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46422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5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46423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6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46424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7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46425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8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46426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9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46427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10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46428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46429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12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46430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13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46431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14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46432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15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46433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16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46434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17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46435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46436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19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46437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20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46438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21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46439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22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46440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23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46441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24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46442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46443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26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46444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27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46445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28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46446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4" customHeight="1" x14ac:dyDescent="0.25">
      <c r="A36" s="60" t="str">
        <f>IF(COUNTIFS(C8:C14,"&lt;&gt;")=0,"","WEEK 1  (Mon "&amp;TEXT(B8,"MMM D")&amp;" – Sun "&amp;TEXT(B14,"MMM D")&amp;")")</f>
        <v>WEEK 1  (Mon Feb 1 – Sun Feb 7)</v>
      </c>
      <c r="B36" s="60"/>
      <c r="C36" s="60"/>
      <c r="D36" s="50">
        <f>SUMIFS(D8:D14,C8:C14,"&lt;&gt;Thursday",C8:C14,"&lt;&gt;",L8:L14,"&lt;&gt;Absent")</f>
        <v>0</v>
      </c>
      <c r="E36" s="50">
        <f>SUMIFS(E8:E14,C8:C14,"&lt;&gt;Thursday",C8:C14,"&lt;&gt;",L8:L14,"&lt;&gt;Absent")</f>
        <v>0</v>
      </c>
      <c r="F36" s="51"/>
      <c r="G36" s="50">
        <f>SUMIFS(G8:G14,C8:C14,"&lt;&gt;Thursday",C8:C14,"&lt;&gt;",L8:L14,"&lt;&gt;Absent")</f>
        <v>96</v>
      </c>
      <c r="H36" s="51"/>
      <c r="I36" s="50">
        <f>SUMIFS(I8:I14,C8:C14,"&lt;&gt;Thursday",C8:C14,"&lt;&gt;",L8:L14,"&lt;&gt;Absent")</f>
        <v>0</v>
      </c>
      <c r="J36" s="52">
        <f>SUMIFS(J8:J14,C8:C14,"&lt;&gt;Thursday",C8:C14,"&lt;&gt;",L8:L14,"&lt;&gt;Absent")</f>
        <v>96</v>
      </c>
      <c r="K36" s="50">
        <f>SUMIFS(K8:K14,C8:C14,"&lt;&gt;Thursday",C8:C14,"&lt;&gt;",L8:L14,"&lt;&gt;Absent")</f>
        <v>5568</v>
      </c>
      <c r="L36" s="53" t="str">
        <f>IF(COUNTIFS(C8:C14,"&lt;&gt;")=0,"",COUNTIF(L8:L14,"✓")&amp;" hits  |  "&amp;COUNTIF(L8:L14,"Absent")&amp;" absent")</f>
        <v>0 hits  |  0 absent</v>
      </c>
      <c r="M36" s="51"/>
    </row>
    <row r="37" spans="1:13" ht="24" customHeight="1" x14ac:dyDescent="0.25">
      <c r="A37" s="60" t="str">
        <f>IF(COUNTIFS(C15:C21,"&lt;&gt;")=0,"","WEEK 2  (Mon "&amp;TEXT(B15,"MMM D")&amp;" – Sun "&amp;TEXT(B21,"MMM D")&amp;")")</f>
        <v>WEEK 2  (Mon Feb 8 – Sun Feb 14)</v>
      </c>
      <c r="B37" s="60"/>
      <c r="C37" s="60"/>
      <c r="D37" s="50">
        <f>SUMIFS(D15:D21,C15:C21,"&lt;&gt;Thursday",C15:C21,"&lt;&gt;",L15:L21,"&lt;&gt;Absent")</f>
        <v>0</v>
      </c>
      <c r="E37" s="50">
        <f>SUMIFS(E15:E21,C15:C21,"&lt;&gt;Thursday",C15:C21,"&lt;&gt;",L15:L21,"&lt;&gt;Absent")</f>
        <v>0</v>
      </c>
      <c r="F37" s="51"/>
      <c r="G37" s="50">
        <f>SUMIFS(G15:G21,C15:C21,"&lt;&gt;Thursday",C15:C21,"&lt;&gt;",L15:L21,"&lt;&gt;Absent")</f>
        <v>96</v>
      </c>
      <c r="H37" s="51"/>
      <c r="I37" s="50">
        <f>SUMIFS(I15:I21,C15:C21,"&lt;&gt;Thursday",C15:C21,"&lt;&gt;",L15:L21,"&lt;&gt;Absent")</f>
        <v>0</v>
      </c>
      <c r="J37" s="52">
        <f>SUMIFS(J15:J21,C15:C21,"&lt;&gt;Thursday",C15:C21,"&lt;&gt;",L15:L21,"&lt;&gt;Absent")</f>
        <v>96</v>
      </c>
      <c r="K37" s="50">
        <f>SUMIFS(K15:K21,C15:C21,"&lt;&gt;Thursday",C15:C21,"&lt;&gt;",L15:L21,"&lt;&gt;Absent")</f>
        <v>5568</v>
      </c>
      <c r="L37" s="53" t="str">
        <f>IF(COUNTIFS(C15:C21,"&lt;&gt;")=0,"",COUNTIF(L15:L21,"✓")&amp;" hits  |  "&amp;COUNTIF(L15:L21,"Absent")&amp;" absent")</f>
        <v>0 hits  |  0 absent</v>
      </c>
      <c r="M37" s="51"/>
    </row>
    <row r="38" spans="1:13" ht="24" customHeight="1" x14ac:dyDescent="0.25">
      <c r="A38" s="60" t="str">
        <f>IF(COUNTIFS(C22:C28,"&lt;&gt;")=0,"","WEEK 3  (Mon "&amp;TEXT(B22,"MMM D")&amp;" – Sun "&amp;TEXT(B28,"MMM D")&amp;")")</f>
        <v>WEEK 3  (Mon Feb 15 – Sun Feb 21)</v>
      </c>
      <c r="B38" s="60"/>
      <c r="C38" s="60"/>
      <c r="D38" s="50">
        <f>SUMIFS(D22:D28,C22:C28,"&lt;&gt;Thursday",C22:C28,"&lt;&gt;",L22:L28,"&lt;&gt;Absent")</f>
        <v>0</v>
      </c>
      <c r="E38" s="50">
        <f>SUMIFS(E22:E28,C22:C28,"&lt;&gt;Thursday",C22:C28,"&lt;&gt;",L22:L28,"&lt;&gt;Absent")</f>
        <v>0</v>
      </c>
      <c r="F38" s="51"/>
      <c r="G38" s="50">
        <f>SUMIFS(G22:G28,C22:C28,"&lt;&gt;Thursday",C22:C28,"&lt;&gt;",L22:L28,"&lt;&gt;Absent")</f>
        <v>96</v>
      </c>
      <c r="H38" s="51"/>
      <c r="I38" s="50">
        <f>SUMIFS(I22:I28,C22:C28,"&lt;&gt;Thursday",C22:C28,"&lt;&gt;",L22:L28,"&lt;&gt;Absent")</f>
        <v>0</v>
      </c>
      <c r="J38" s="52">
        <f>SUMIFS(J22:J28,C22:C28,"&lt;&gt;Thursday",C22:C28,"&lt;&gt;",L22:L28,"&lt;&gt;Absent")</f>
        <v>96</v>
      </c>
      <c r="K38" s="50">
        <f>SUMIFS(K22:K28,C22:C28,"&lt;&gt;Thursday",C22:C28,"&lt;&gt;",L22:L28,"&lt;&gt;Absent")</f>
        <v>5568</v>
      </c>
      <c r="L38" s="53" t="str">
        <f>IF(COUNTIFS(C22:C28,"&lt;&gt;")=0,"",COUNTIF(L22:L28,"✓")&amp;" hits  |  "&amp;COUNTIF(L22:L28,"Absent")&amp;" absent")</f>
        <v>0 hits  |  0 absent</v>
      </c>
      <c r="M38" s="51"/>
    </row>
    <row r="39" spans="1:13" ht="24" customHeight="1" x14ac:dyDescent="0.25">
      <c r="A39" s="60" t="str">
        <f>IF(COUNTIFS(C29:C35,"&lt;&gt;")=0,"","WEEK 4  (Mon "&amp;TEXT(B29,"MMM D")&amp;" – Sun "&amp;TEXT(B35,"MMM D")&amp;")")</f>
        <v>WEEK 4  (Mon Feb 22 – Sun Feb 28)</v>
      </c>
      <c r="B39" s="60"/>
      <c r="C39" s="60"/>
      <c r="D39" s="50">
        <f>SUMIFS(D29:D35,C29:C35,"&lt;&gt;Thursday",C29:C35,"&lt;&gt;",L29:L35,"&lt;&gt;Absent")</f>
        <v>0</v>
      </c>
      <c r="E39" s="50">
        <f>SUMIFS(E29:E35,C29:C35,"&lt;&gt;Thursday",C29:C35,"&lt;&gt;",L29:L35,"&lt;&gt;Absent")</f>
        <v>0</v>
      </c>
      <c r="F39" s="51"/>
      <c r="G39" s="50">
        <f>SUMIFS(G29:G35,C29:C35,"&lt;&gt;Thursday",C29:C35,"&lt;&gt;",L29:L35,"&lt;&gt;Absent")</f>
        <v>96</v>
      </c>
      <c r="H39" s="51"/>
      <c r="I39" s="50">
        <f>SUMIFS(I29:I35,C29:C35,"&lt;&gt;Thursday",C29:C35,"&lt;&gt;",L29:L35,"&lt;&gt;Absent")</f>
        <v>0</v>
      </c>
      <c r="J39" s="52">
        <f>SUMIFS(J29:J35,C29:C35,"&lt;&gt;Thursday",C29:C35,"&lt;&gt;",L29:L35,"&lt;&gt;Absent")</f>
        <v>96</v>
      </c>
      <c r="K39" s="50">
        <f>SUMIFS(K29:K35,C29:C35,"&lt;&gt;Thursday",C29:C35,"&lt;&gt;",L29:L35,"&lt;&gt;Absent")</f>
        <v>5568</v>
      </c>
      <c r="L39" s="53" t="str">
        <f>IF(COUNTIFS(C29:C35,"&lt;&gt;")=0,"",COUNTIF(L29:L35,"✓")&amp;" hits  |  "&amp;COUNTIF(L29:L35,"Absent")&amp;" absent")</f>
        <v>0 hits  |  0 absent</v>
      </c>
      <c r="M39" s="51"/>
    </row>
    <row r="40" spans="1:13" ht="27.75" customHeight="1" x14ac:dyDescent="0.25">
      <c r="A40" s="59" t="str">
        <f>"MONTHLY TOTAL  —  "&amp;C3&amp;" "&amp;D3&amp;"  |  "&amp;C4</f>
        <v>MONTHLY TOTAL  —  February 2027  |  4:00 PM – 12:00 MN</v>
      </c>
      <c r="B40" s="59"/>
      <c r="C40" s="59"/>
      <c r="D40" s="54">
        <f>SUMIFS(D8:D35,C8:C35,"&lt;&gt;Thursday",C8:C35,"&lt;&gt;",L8:L35,"&lt;&gt;Absent")</f>
        <v>0</v>
      </c>
      <c r="E40" s="54">
        <f>SUMIFS(E8:E35,C8:C35,"&lt;&gt;Thursday",C8:C35,"&lt;&gt;",L8:L35,"&lt;&gt;Absent")</f>
        <v>0</v>
      </c>
      <c r="F40" s="55"/>
      <c r="G40" s="54">
        <f>SUMIFS(G8:G35,C8:C35,"&lt;&gt;Thursday",C8:C35,"&lt;&gt;",L8:L35,"&lt;&gt;Absent")</f>
        <v>384</v>
      </c>
      <c r="H40" s="55"/>
      <c r="I40" s="54">
        <f>SUMIFS(I8:I35,C8:C35,"&lt;&gt;Thursday",C8:C35,"&lt;&gt;",L8:L35,"&lt;&gt;Absent")</f>
        <v>0</v>
      </c>
      <c r="J40" s="56">
        <f>SUMIFS(J8:J35,C8:C35,"&lt;&gt;Thursday",C8:C35,"&lt;&gt;",L8:L35,"&lt;&gt;Absent")</f>
        <v>384</v>
      </c>
      <c r="K40" s="57">
        <f>SUMIFS(K8:K35,C8:C35,"&lt;&gt;Thursday",C8:C35,"&lt;&gt;",L8:L35,"&lt;&gt;Absent")</f>
        <v>22272</v>
      </c>
      <c r="L40" s="58" t="str">
        <f>COUNTIF(L8:L35,"Absent")&amp;" absences  |  "&amp;COUNTIF(L8:L35,"✓")&amp;" goals hit"</f>
        <v>0 absences  |  0 goals hit</v>
      </c>
      <c r="M40" s="55"/>
    </row>
  </sheetData>
  <mergeCells count="19">
    <mergeCell ref="A1:M1"/>
    <mergeCell ref="A2:M2"/>
    <mergeCell ref="A3:B3"/>
    <mergeCell ref="E3:G3"/>
    <mergeCell ref="H3:I3"/>
    <mergeCell ref="F6:G6"/>
    <mergeCell ref="J6:K6"/>
    <mergeCell ref="L6:M6"/>
    <mergeCell ref="A36:C36"/>
    <mergeCell ref="A4:B4"/>
    <mergeCell ref="C4:E4"/>
    <mergeCell ref="F4:M4"/>
    <mergeCell ref="A5:C5"/>
    <mergeCell ref="L5:M5"/>
    <mergeCell ref="A37:C37"/>
    <mergeCell ref="A38:C38"/>
    <mergeCell ref="A39:C39"/>
    <mergeCell ref="A40:C40"/>
    <mergeCell ref="A6:C6"/>
  </mergeCells>
  <conditionalFormatting sqref="A8:M35">
    <cfRule type="expression" dxfId="65" priority="2">
      <formula>$B8=TODAY()</formula>
    </cfRule>
    <cfRule type="expression" dxfId="64" priority="3">
      <formula>$L8="Absent"</formula>
    </cfRule>
  </conditionalFormatting>
  <conditionalFormatting sqref="D8:M35">
    <cfRule type="expression" dxfId="63" priority="10">
      <formula>AND($E8&gt;=1000,$C8&lt;&gt;"",$C8&lt;&gt;"Thursday",$L8&lt;&gt;"Absent")</formula>
    </cfRule>
    <cfRule type="expression" dxfId="62" priority="11">
      <formula>AND($E8&gt;=500,$E8&lt;1000,$C8&lt;&gt;"",$C8&lt;&gt;"Thursday",$L8&lt;&gt;"Absent")</formula>
    </cfRule>
  </conditionalFormatting>
  <conditionalFormatting sqref="L8:L35">
    <cfRule type="expression" dxfId="61" priority="44">
      <formula>AND($J8&gt;=$J$3,$C8&lt;&gt;"Thursday",$C8&lt;&gt;"",$L8&lt;&gt;"Absent")</formula>
    </cfRule>
    <cfRule type="expression" dxfId="60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35" xr:uid="{00000000-0002-0000-0E00-000000000000}">
      <formula1>"Absent"</formula1>
      <formula2>0</formula2>
    </dataValidation>
    <dataValidation type="list" sqref="C3" xr:uid="{00000000-0002-0000-0E00-000001000000}">
      <formula1>"January,February,March,April,May,June,July,August,September,October,November,December"</formula1>
      <formula2>0</formula2>
    </dataValidation>
    <dataValidation type="list" sqref="D3" xr:uid="{00000000-0002-0000-0E00-000002000000}">
      <formula1>"2025,2026,2027,2028,2029,2030"</formula1>
      <formula2>0</formula2>
    </dataValidation>
    <dataValidation type="list" sqref="C4" xr:uid="{00000000-0002-0000-0E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50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432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432</v>
      </c>
      <c r="K5" s="24">
        <f>SUMIFS(K8:K42,K8:K42,"&lt;&gt;0",C8:C42,"&lt;&gt;Thursday",C8:C42,"&lt;&gt;",L8:L42,"&lt;&gt;Absent")</f>
        <v>25056</v>
      </c>
      <c r="L5" s="69" t="str">
        <f>COUNTIF(L8:L42,"✓")&amp;" / "&amp;COUNTIFS(C8:C42,"&lt;&gt;Thursday",C8:C42,"&lt;&gt;",L8:L42,"&lt;&gt;Absent")&amp;" days goal hit"</f>
        <v>0 / 31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496</v>
      </c>
      <c r="J6" s="63">
        <f>IFERROR(I6*L3,0)</f>
        <v>28768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customHeight="1" x14ac:dyDescent="0.25">
      <c r="A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>1</v>
      </c>
      <c r="B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>46447</v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>Monday</v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8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16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>0%</v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16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928</v>
      </c>
      <c r="L8" s="35"/>
      <c r="M8" s="35"/>
    </row>
    <row r="9" spans="1:13" ht="21.75" customHeight="1" x14ac:dyDescent="0.25">
      <c r="A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>2</v>
      </c>
      <c r="B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>46448</v>
      </c>
      <c r="C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>Tuesday</v>
      </c>
      <c r="D9" s="47">
        <v>0</v>
      </c>
      <c r="E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8</v>
      </c>
      <c r="G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16</v>
      </c>
      <c r="H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>0%</v>
      </c>
      <c r="I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16</v>
      </c>
      <c r="K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928</v>
      </c>
      <c r="L9" s="49"/>
      <c r="M9" s="49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3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46449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46450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5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46451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6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46452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7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46453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8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46454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9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46455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10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46456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46457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12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46458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13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46459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14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46460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15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46461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16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46462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17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46463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46464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19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46465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20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46466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21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46467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22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46468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23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46469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24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46470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46471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26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46472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27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46473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28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46474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29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46475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30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46476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31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46477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hidden="1" customHeight="1" x14ac:dyDescent="0.25">
      <c r="A3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/>
      </c>
      <c r="B3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/>
      </c>
      <c r="C3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/>
      </c>
      <c r="D39" s="32">
        <v>0</v>
      </c>
      <c r="E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/>
      </c>
      <c r="I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34"/>
      <c r="M39" s="35"/>
    </row>
    <row r="40" spans="1:13" ht="21.75" hidden="1" customHeight="1" x14ac:dyDescent="0.25">
      <c r="A4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/>
      </c>
      <c r="B4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/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/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0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0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/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0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0</v>
      </c>
      <c r="L40" s="34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Mar 1 – Sun Mar 7)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96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96</v>
      </c>
      <c r="K43" s="50">
        <f>SUMIFS(K8:K14,C8:C14,"&lt;&gt;Thursday",C8:C14,"&lt;&gt;",L8:L14,"&lt;&gt;Absent")</f>
        <v>5568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Mar 8 – Sun Mar 14)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Mar 15 – Sun Mar 21)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Mar 22 – Sun Mar 28)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Mar 29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48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48</v>
      </c>
      <c r="K47" s="50">
        <f>SUMIFS(K36:K42,C36:C42,"&lt;&gt;Thursday",C36:C42,"&lt;&gt;",L36:L42,"&lt;&gt;Absent")</f>
        <v>2784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March 2027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432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432</v>
      </c>
      <c r="K48" s="57">
        <f>SUMIFS(K8:K42,C8:C42,"&lt;&gt;Thursday",C8:C42,"&lt;&gt;",L8:L42,"&lt;&gt;Absent")</f>
        <v>25056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59" priority="2">
      <formula>$B8=TODAY()</formula>
    </cfRule>
    <cfRule type="expression" dxfId="58" priority="3">
      <formula>$L8="Absent"</formula>
    </cfRule>
  </conditionalFormatting>
  <conditionalFormatting sqref="D8:M42">
    <cfRule type="expression" dxfId="57" priority="10">
      <formula>AND($E8&gt;=1000,$C8&lt;&gt;"",$C8&lt;&gt;"Thursday",$L8&lt;&gt;"Absent")</formula>
    </cfRule>
    <cfRule type="expression" dxfId="56" priority="11">
      <formula>AND($E8&gt;=500,$E8&lt;1000,$C8&lt;&gt;"",$C8&lt;&gt;"Thursday",$L8&lt;&gt;"Absent")</formula>
    </cfRule>
  </conditionalFormatting>
  <conditionalFormatting sqref="L8:L42">
    <cfRule type="expression" dxfId="55" priority="44">
      <formula>AND($J8&gt;=$J$3,$C8&lt;&gt;"Thursday",$C8&lt;&gt;"",$L8&lt;&gt;"Absent")</formula>
    </cfRule>
    <cfRule type="expression" dxfId="54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0F00-000000000000}">
      <formula1>"Absent"</formula1>
      <formula2>0</formula2>
    </dataValidation>
    <dataValidation type="list" sqref="C3" xr:uid="{00000000-0002-0000-0F00-000001000000}">
      <formula1>"January,February,March,April,May,June,July,August,September,October,November,December"</formula1>
      <formula2>0</formula2>
    </dataValidation>
    <dataValidation type="list" sqref="D3" xr:uid="{00000000-0002-0000-0F00-000002000000}">
      <formula1>"2025,2026,2027,2028,2029,2030"</formula1>
      <formula2>0</formula2>
    </dataValidation>
    <dataValidation type="list" sqref="C4" xr:uid="{00000000-0002-0000-0F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51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400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400</v>
      </c>
      <c r="K5" s="24">
        <f>SUMIFS(K8:K42,K8:K42,"&lt;&gt;0",C8:C42,"&lt;&gt;Thursday",C8:C42,"&lt;&gt;",L8:L42,"&lt;&gt;Absent")</f>
        <v>23200</v>
      </c>
      <c r="L5" s="69" t="str">
        <f>COUNTIF(L8:L42,"✓")&amp;" / "&amp;COUNTIFS(C8:C42,"&lt;&gt;Thursday",C8:C42,"&lt;&gt;",L8:L42,"&lt;&gt;Absent")&amp;" days goal hit"</f>
        <v>0 / 30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480</v>
      </c>
      <c r="J6" s="63">
        <f>IFERROR(I6*L3,0)</f>
        <v>27840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46478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2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46479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3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46480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4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46481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5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46482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6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46483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7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46484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46485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9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46486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10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46487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11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46488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12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46489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13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46490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14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46491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46492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16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46493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17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46494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18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46495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19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46496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20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46497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21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46498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46499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23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46500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24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46501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25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46502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26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46503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27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46504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28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46505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46506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30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46507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Apr 4)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48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48</v>
      </c>
      <c r="K43" s="50">
        <f>SUMIFS(K8:K14,C8:C14,"&lt;&gt;Thursday",C8:C14,"&lt;&gt;",L8:L14,"&lt;&gt;Absent")</f>
        <v>2784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Apr 5 – Sun Apr 11)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Apr 12 – Sun Apr 18)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Apr 19 – Sun Apr 25)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Apr 26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64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64</v>
      </c>
      <c r="K47" s="50">
        <f>SUMIFS(K36:K42,C36:C42,"&lt;&gt;Thursday",C36:C42,"&lt;&gt;",L36:L42,"&lt;&gt;Absent")</f>
        <v>3712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April 2027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400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400</v>
      </c>
      <c r="K48" s="57">
        <f>SUMIFS(K8:K42,C8:C42,"&lt;&gt;Thursday",C8:C42,"&lt;&gt;",L8:L42,"&lt;&gt;Absent")</f>
        <v>23200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53" priority="2">
      <formula>$B8=TODAY()</formula>
    </cfRule>
    <cfRule type="expression" dxfId="52" priority="3">
      <formula>$L8="Absent"</formula>
    </cfRule>
  </conditionalFormatting>
  <conditionalFormatting sqref="D8:M42">
    <cfRule type="expression" dxfId="51" priority="10">
      <formula>AND($E8&gt;=1000,$C8&lt;&gt;"",$C8&lt;&gt;"Thursday",$L8&lt;&gt;"Absent")</formula>
    </cfRule>
    <cfRule type="expression" dxfId="50" priority="11">
      <formula>AND($E8&gt;=500,$E8&lt;1000,$C8&lt;&gt;"",$C8&lt;&gt;"Thursday",$L8&lt;&gt;"Absent")</formula>
    </cfRule>
  </conditionalFormatting>
  <conditionalFormatting sqref="L8:L42">
    <cfRule type="expression" dxfId="49" priority="44">
      <formula>AND($J8&gt;=$J$3,$C8&lt;&gt;"Thursday",$C8&lt;&gt;"",$L8&lt;&gt;"Absent")</formula>
    </cfRule>
    <cfRule type="expression" dxfId="48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1000-000000000000}">
      <formula1>"Absent"</formula1>
      <formula2>0</formula2>
    </dataValidation>
    <dataValidation type="list" sqref="C3" xr:uid="{00000000-0002-0000-1000-000001000000}">
      <formula1>"January,February,March,April,May,June,July,August,September,October,November,December"</formula1>
      <formula2>0</formula2>
    </dataValidation>
    <dataValidation type="list" sqref="D3" xr:uid="{00000000-0002-0000-1000-000002000000}">
      <formula1>"2025,2026,2027,2028,2029,2030"</formula1>
      <formula2>0</formula2>
    </dataValidation>
    <dataValidation type="list" sqref="C4" xr:uid="{00000000-0002-0000-10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6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52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SUMIFS(D8:D49,D8:D49,"&lt;&gt;0",C8:C49,"&lt;&gt;Thursday",C8:C49,"&lt;&gt;",L8:L49,"&lt;&gt;Absent")</f>
        <v>0</v>
      </c>
      <c r="E5" s="24">
        <f>SUMIFS(E8:E49,E8:E49,"&lt;&gt;0",C8:C49,"&lt;&gt;Thursday",C8:C49,"&lt;&gt;",L8:L49,"&lt;&gt;Absent")</f>
        <v>0</v>
      </c>
      <c r="F5" s="25"/>
      <c r="G5" s="24">
        <f>SUMIFS(G8:G49,G8:G49,"&lt;&gt;0",C8:C49,"&lt;&gt;Thursday",C8:C49,"&lt;&gt;",L8:L49,"&lt;&gt;Absent")</f>
        <v>432</v>
      </c>
      <c r="H5" s="25"/>
      <c r="I5" s="24">
        <f>SUMIFS(I8:I49,I8:I49,"&lt;&gt;0",C8:C49,"&lt;&gt;Thursday",C8:C49,"&lt;&gt;",L8:L49,"&lt;&gt;Absent")</f>
        <v>0</v>
      </c>
      <c r="J5" s="24">
        <f>SUMIFS(J8:J49,J8:J49,"&lt;&gt;0",C8:C49,"&lt;&gt;Thursday",C8:C49,"&lt;&gt;",L8:L49,"&lt;&gt;Absent")</f>
        <v>432</v>
      </c>
      <c r="K5" s="24">
        <f>SUMIFS(K8:K49,K8:K49,"&lt;&gt;0",C8:C49,"&lt;&gt;Thursday",C8:C49,"&lt;&gt;",L8:L49,"&lt;&gt;Absent")</f>
        <v>25056</v>
      </c>
      <c r="L5" s="69" t="str">
        <f>COUNTIF(L8:L49,"✓")&amp;" / "&amp;COUNTIFS(C8:C49,"&lt;&gt;Thursday",C8:C49,"&lt;&gt;",L8:L49,"&lt;&gt;Absent")&amp;" days goal hit"</f>
        <v>0 / 38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IF(MAX(D8:D49)=0,"—",MAX(D8:D49))</f>
        <v>—</v>
      </c>
      <c r="E6" s="26" t="str">
        <f>IF(MAX(E8:E49)=0,"—",MAX(E8:E49))</f>
        <v>—</v>
      </c>
      <c r="F6" s="62" t="s">
        <v>34</v>
      </c>
      <c r="G6" s="62"/>
      <c r="H6" s="27">
        <f>IFERROR(J5/MAX(1,COUNTIFS(C8:C49,"&lt;&gt;Thursday",J8:J49,"&lt;&gt;0",L8:L49,"&lt;&gt;Absent")),0)</f>
        <v>16</v>
      </c>
      <c r="I6" s="28">
        <f>IFERROR(J5/MAX(1,COUNTIFS(C8:C49,"&lt;&gt;Thursday",J8:J49,"&lt;&gt;0",L8:L49,"&lt;&gt;Absent"))*COUNTIFS(C8:C49,"&lt;&gt;Thursday",B8:B49,"&lt;&gt;",L8:L49,"&lt;&gt;Absent"),0)</f>
        <v>608</v>
      </c>
      <c r="J6" s="63">
        <f>IFERROR(I6*L3,0)</f>
        <v>35264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hidden="1" customHeight="1" x14ac:dyDescent="0.25">
      <c r="A1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/>
      </c>
      <c r="B1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/>
      </c>
      <c r="C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/>
      </c>
      <c r="D11" s="32">
        <v>0</v>
      </c>
      <c r="E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/>
      </c>
      <c r="I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34"/>
      <c r="M11" s="35"/>
    </row>
    <row r="12" spans="1:13" ht="21.75" hidden="1" customHeight="1" x14ac:dyDescent="0.25">
      <c r="A1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/>
      </c>
      <c r="B1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/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/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0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0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/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0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0</v>
      </c>
      <c r="L12" s="34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1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46508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2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46509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3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46510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4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46511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5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46512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46513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7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46514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8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46515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9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46516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10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46517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11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46518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12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46519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46520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14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46521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15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46522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16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46523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17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46524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18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46525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19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46526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46527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21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46528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22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46529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23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46530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24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46531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25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46532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26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46533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46534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28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46535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29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46536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customHeight="1" x14ac:dyDescent="0.25">
      <c r="A4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>30</v>
      </c>
      <c r="B4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>46537</v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>Sunday</v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8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16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>0%</v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16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928</v>
      </c>
      <c r="L42" s="35"/>
      <c r="M42" s="35"/>
    </row>
    <row r="43" spans="1:13" ht="21.75" customHeight="1" x14ac:dyDescent="0.25">
      <c r="A4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))</f>
        <v>31</v>
      </c>
      <c r="B4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</f>
        <v>46538</v>
      </c>
      <c r="C4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TEXT(B43,"DDDD"))</f>
        <v>Monday</v>
      </c>
      <c r="D43" s="47">
        <v>0</v>
      </c>
      <c r="E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IF(D43=0,0,D43*0.8),0)</f>
        <v>0</v>
      </c>
      <c r="F4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8,0)</f>
        <v>8</v>
      </c>
      <c r="G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F43*2,0)</f>
        <v>16</v>
      </c>
      <c r="H4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,"—",IF(L43="Absent","Absent",IF(E43=0,"0%",IF(E43&lt;500,"3%",IF(E43&lt;1000,"4%","5%"))))))</f>
        <v>0%</v>
      </c>
      <c r="I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IF(E43=0,0,IF(E43&lt;500,E43*0.03,IF(E43&lt;1000,E43*0.04,E43*0.05))),0)</f>
        <v>0</v>
      </c>
      <c r="J4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G43+I43,0)</f>
        <v>16</v>
      </c>
      <c r="K4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J43*$L$3,0)</f>
        <v>928</v>
      </c>
      <c r="L43" s="49"/>
      <c r="M43" s="49"/>
    </row>
    <row r="44" spans="1:13" ht="21.75" hidden="1" customHeight="1" x14ac:dyDescent="0.25">
      <c r="A44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))</f>
        <v/>
      </c>
      <c r="B44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</f>
        <v/>
      </c>
      <c r="C4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TEXT(B44,"DDDD"))</f>
        <v/>
      </c>
      <c r="D44" s="32">
        <v>0</v>
      </c>
      <c r="E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IF(D44=0,0,D44*0.8),0)</f>
        <v>0</v>
      </c>
      <c r="F4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8,0)</f>
        <v>0</v>
      </c>
      <c r="G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F44*2,0)</f>
        <v>0</v>
      </c>
      <c r="H4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,"—",IF(L44="Absent","Absent",IF(E44=0,"0%",IF(E44&lt;500,"3%",IF(E44&lt;1000,"4%","5%"))))))</f>
        <v/>
      </c>
      <c r="I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IF(E44=0,0,IF(E44&lt;500,E44*0.03,IF(E44&lt;1000,E44*0.04,E44*0.05))),0)</f>
        <v>0</v>
      </c>
      <c r="J4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G44+I44,0)</f>
        <v>0</v>
      </c>
      <c r="K4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J44*$L$3,0)</f>
        <v>0</v>
      </c>
      <c r="L44" s="34"/>
      <c r="M44" s="35"/>
    </row>
    <row r="45" spans="1:13" ht="21.75" hidden="1" customHeight="1" x14ac:dyDescent="0.25">
      <c r="A45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))</f>
        <v/>
      </c>
      <c r="B45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</f>
        <v/>
      </c>
      <c r="C45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TEXT(B45,"DDDD"))</f>
        <v/>
      </c>
      <c r="D45" s="32">
        <v>0</v>
      </c>
      <c r="E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IF(D45=0,0,D45*0.8),0)</f>
        <v>0</v>
      </c>
      <c r="F45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8,0)</f>
        <v>0</v>
      </c>
      <c r="G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F45*2,0)</f>
        <v>0</v>
      </c>
      <c r="H45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,"—",IF(L45="Absent","Absent",IF(E45=0,"0%",IF(E45&lt;500,"3%",IF(E45&lt;1000,"4%","5%"))))))</f>
        <v/>
      </c>
      <c r="I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IF(E45=0,0,IF(E45&lt;500,E45*0.03,IF(E45&lt;1000,E45*0.04,E45*0.05))),0)</f>
        <v>0</v>
      </c>
      <c r="J45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G45+I45,0)</f>
        <v>0</v>
      </c>
      <c r="K45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J45*$L$3,0)</f>
        <v>0</v>
      </c>
      <c r="L45" s="34"/>
      <c r="M45" s="35"/>
    </row>
    <row r="46" spans="1:13" ht="21.75" hidden="1" customHeight="1" x14ac:dyDescent="0.25">
      <c r="A46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))</f>
        <v/>
      </c>
      <c r="B46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</f>
        <v/>
      </c>
      <c r="C4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TEXT(B46,"DDDD"))</f>
        <v/>
      </c>
      <c r="D46" s="32">
        <v>0</v>
      </c>
      <c r="E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IF(D46=0,0,D46*0.8),0)</f>
        <v>0</v>
      </c>
      <c r="F4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8,0)</f>
        <v>0</v>
      </c>
      <c r="G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F46*2,0)</f>
        <v>0</v>
      </c>
      <c r="H4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,"—",IF(L46="Absent","Absent",IF(E46=0,"0%",IF(E46&lt;500,"3%",IF(E46&lt;1000,"4%","5%"))))))</f>
        <v/>
      </c>
      <c r="I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IF(E46=0,0,IF(E46&lt;500,E46*0.03,IF(E46&lt;1000,E46*0.04,E46*0.05))),0)</f>
        <v>0</v>
      </c>
      <c r="J4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G46+I46,0)</f>
        <v>0</v>
      </c>
      <c r="K4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J46*$L$3,0)</f>
        <v>0</v>
      </c>
      <c r="L46" s="34"/>
      <c r="M46" s="35"/>
    </row>
    <row r="47" spans="1:13" ht="21.75" hidden="1" customHeight="1" x14ac:dyDescent="0.25">
      <c r="A47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))</f>
        <v/>
      </c>
      <c r="B47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</f>
        <v/>
      </c>
      <c r="C47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TEXT(B47,"DDDD"))</f>
        <v/>
      </c>
      <c r="D47" s="32">
        <v>0</v>
      </c>
      <c r="E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IF(D47=0,0,D47*0.8),0)</f>
        <v>0</v>
      </c>
      <c r="F47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8,0)</f>
        <v>0</v>
      </c>
      <c r="G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F47*2,0)</f>
        <v>0</v>
      </c>
      <c r="H47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,"—",IF(L47="Absent","Absent",IF(E47=0,"0%",IF(E47&lt;500,"3%",IF(E47&lt;1000,"4%","5%"))))))</f>
        <v/>
      </c>
      <c r="I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IF(E47=0,0,IF(E47&lt;500,E47*0.03,IF(E47&lt;1000,E47*0.04,E47*0.05))),0)</f>
        <v>0</v>
      </c>
      <c r="J47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G47+I47,0)</f>
        <v>0</v>
      </c>
      <c r="K47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J47*$L$3,0)</f>
        <v>0</v>
      </c>
      <c r="L47" s="34"/>
      <c r="M47" s="35"/>
    </row>
    <row r="48" spans="1:13" ht="21.75" hidden="1" customHeight="1" x14ac:dyDescent="0.25">
      <c r="A4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))</f>
        <v/>
      </c>
      <c r="B4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</f>
        <v/>
      </c>
      <c r="C4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TEXT(B48,"DDDD"))</f>
        <v/>
      </c>
      <c r="D48" s="32">
        <v>0</v>
      </c>
      <c r="E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IF(D48=0,0,D48*0.8),0)</f>
        <v>0</v>
      </c>
      <c r="F4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8,0)</f>
        <v>0</v>
      </c>
      <c r="G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F48*2,0)</f>
        <v>0</v>
      </c>
      <c r="H4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,"—",IF(L48="Absent","Absent",IF(E48=0,"0%",IF(E48&lt;500,"3%",IF(E48&lt;1000,"4%","5%"))))))</f>
        <v/>
      </c>
      <c r="I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IF(E48=0,0,IF(E48&lt;500,E48*0.03,IF(E48&lt;1000,E48*0.04,E48*0.05))),0)</f>
        <v>0</v>
      </c>
      <c r="J4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G48+I48,0)</f>
        <v>0</v>
      </c>
      <c r="K4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J48*$L$3,0)</f>
        <v>0</v>
      </c>
      <c r="L48" s="34"/>
      <c r="M48" s="35"/>
    </row>
    <row r="49" spans="1:13" ht="21.75" hidden="1" customHeight="1" x14ac:dyDescent="0.25">
      <c r="A4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))</f>
        <v/>
      </c>
      <c r="B4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</f>
        <v/>
      </c>
      <c r="C4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TEXT(B49,"DDDD"))</f>
        <v/>
      </c>
      <c r="D49" s="32">
        <v>0</v>
      </c>
      <c r="E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IF(D49=0,0,D49*0.8),0)</f>
        <v>0</v>
      </c>
      <c r="F4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8,0)</f>
        <v>0</v>
      </c>
      <c r="G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F49*2,0)</f>
        <v>0</v>
      </c>
      <c r="H4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,"—",IF(L49="Absent","Absent",IF(E49=0,"0%",IF(E49&lt;500,"3%",IF(E49&lt;1000,"4%","5%"))))))</f>
        <v/>
      </c>
      <c r="I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IF(E49=0,0,IF(E49&lt;500,E49*0.03,IF(E49&lt;1000,E49*0.04,E49*0.05))),0)</f>
        <v>0</v>
      </c>
      <c r="J4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G49+I49,0)</f>
        <v>0</v>
      </c>
      <c r="K4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J49*$L$3,0)</f>
        <v>0</v>
      </c>
      <c r="L49" s="34"/>
      <c r="M49" s="35"/>
    </row>
    <row r="50" spans="1:13" ht="24" customHeight="1" x14ac:dyDescent="0.25">
      <c r="A50" s="60" t="str">
        <f>IF(COUNTIFS(C8:C14,"&lt;&gt;")=0,"","WEEK 1  (Mon "&amp;TEXT(B8,"MMM D")&amp;" – Sun "&amp;TEXT(B14,"MMM D")&amp;")")</f>
        <v>WEEK 1  (Mon  – Sun May 2)</v>
      </c>
      <c r="B50" s="60"/>
      <c r="C50" s="60"/>
      <c r="D50" s="50">
        <f>SUMIFS(D8:D14,C8:C14,"&lt;&gt;Thursday",C8:C14,"&lt;&gt;",L8:L14,"&lt;&gt;Absent")</f>
        <v>0</v>
      </c>
      <c r="E50" s="50">
        <f>SUMIFS(E8:E14,C8:C14,"&lt;&gt;Thursday",C8:C14,"&lt;&gt;",L8:L14,"&lt;&gt;Absent")</f>
        <v>0</v>
      </c>
      <c r="F50" s="51"/>
      <c r="G50" s="50">
        <f>SUMIFS(G8:G14,C8:C14,"&lt;&gt;Thursday",C8:C14,"&lt;&gt;",L8:L14,"&lt;&gt;Absent")</f>
        <v>32</v>
      </c>
      <c r="H50" s="51"/>
      <c r="I50" s="50">
        <f>SUMIFS(I8:I14,C8:C14,"&lt;&gt;Thursday",C8:C14,"&lt;&gt;",L8:L14,"&lt;&gt;Absent")</f>
        <v>0</v>
      </c>
      <c r="J50" s="52">
        <f>SUMIFS(J8:J14,C8:C14,"&lt;&gt;Thursday",C8:C14,"&lt;&gt;",L8:L14,"&lt;&gt;Absent")</f>
        <v>32</v>
      </c>
      <c r="K50" s="50">
        <f>SUMIFS(K8:K14,C8:C14,"&lt;&gt;Thursday",C8:C14,"&lt;&gt;",L8:L14,"&lt;&gt;Absent")</f>
        <v>1856</v>
      </c>
      <c r="L50" s="53" t="str">
        <f>IF(COUNTIFS(C8:C14,"&lt;&gt;")=0,"",COUNTIF(L8:L14,"✓")&amp;" hits  |  "&amp;COUNTIF(L8:L14,"Absent")&amp;" absent")</f>
        <v>0 hits  |  0 absent</v>
      </c>
      <c r="M50" s="51"/>
    </row>
    <row r="51" spans="1:13" ht="24" customHeight="1" x14ac:dyDescent="0.25">
      <c r="A51" s="60" t="str">
        <f>IF(COUNTIFS(C15:C21,"&lt;&gt;")=0,"","WEEK 2  (Mon "&amp;TEXT(B15,"MMM D")&amp;" – Sun "&amp;TEXT(B21,"MMM D")&amp;")")</f>
        <v>WEEK 2  (Mon May 3 – Sun May 9)</v>
      </c>
      <c r="B51" s="60"/>
      <c r="C51" s="60"/>
      <c r="D51" s="50">
        <f>SUMIFS(D15:D21,C15:C21,"&lt;&gt;Thursday",C15:C21,"&lt;&gt;",L15:L21,"&lt;&gt;Absent")</f>
        <v>0</v>
      </c>
      <c r="E51" s="50">
        <f>SUMIFS(E15:E21,C15:C21,"&lt;&gt;Thursday",C15:C21,"&lt;&gt;",L15:L21,"&lt;&gt;Absent")</f>
        <v>0</v>
      </c>
      <c r="F51" s="51"/>
      <c r="G51" s="50">
        <f>SUMIFS(G15:G21,C15:C21,"&lt;&gt;Thursday",C15:C21,"&lt;&gt;",L15:L21,"&lt;&gt;Absent")</f>
        <v>96</v>
      </c>
      <c r="H51" s="51"/>
      <c r="I51" s="50">
        <f>SUMIFS(I15:I21,C15:C21,"&lt;&gt;Thursday",C15:C21,"&lt;&gt;",L15:L21,"&lt;&gt;Absent")</f>
        <v>0</v>
      </c>
      <c r="J51" s="52">
        <f>SUMIFS(J15:J21,C15:C21,"&lt;&gt;Thursday",C15:C21,"&lt;&gt;",L15:L21,"&lt;&gt;Absent")</f>
        <v>96</v>
      </c>
      <c r="K51" s="50">
        <f>SUMIFS(K15:K21,C15:C21,"&lt;&gt;Thursday",C15:C21,"&lt;&gt;",L15:L21,"&lt;&gt;Absent")</f>
        <v>5568</v>
      </c>
      <c r="L51" s="53" t="str">
        <f>IF(COUNTIFS(C15:C21,"&lt;&gt;")=0,"",COUNTIF(L15:L21,"✓")&amp;" hits  |  "&amp;COUNTIF(L15:L21,"Absent")&amp;" absent")</f>
        <v>0 hits  |  0 absent</v>
      </c>
      <c r="M51" s="51"/>
    </row>
    <row r="52" spans="1:13" ht="24" customHeight="1" x14ac:dyDescent="0.25">
      <c r="A52" s="60" t="str">
        <f>IF(COUNTIFS(C22:C28,"&lt;&gt;")=0,"","WEEK 3  (Mon "&amp;TEXT(B22,"MMM D")&amp;" – Sun "&amp;TEXT(B28,"MMM D")&amp;")")</f>
        <v>WEEK 3  (Mon May 10 – Sun May 16)</v>
      </c>
      <c r="B52" s="60"/>
      <c r="C52" s="60"/>
      <c r="D52" s="50">
        <f>SUMIFS(D22:D28,C22:C28,"&lt;&gt;Thursday",C22:C28,"&lt;&gt;",L22:L28,"&lt;&gt;Absent")</f>
        <v>0</v>
      </c>
      <c r="E52" s="50">
        <f>SUMIFS(E22:E28,C22:C28,"&lt;&gt;Thursday",C22:C28,"&lt;&gt;",L22:L28,"&lt;&gt;Absent")</f>
        <v>0</v>
      </c>
      <c r="F52" s="51"/>
      <c r="G52" s="50">
        <f>SUMIFS(G22:G28,C22:C28,"&lt;&gt;Thursday",C22:C28,"&lt;&gt;",L22:L28,"&lt;&gt;Absent")</f>
        <v>96</v>
      </c>
      <c r="H52" s="51"/>
      <c r="I52" s="50">
        <f>SUMIFS(I22:I28,C22:C28,"&lt;&gt;Thursday",C22:C28,"&lt;&gt;",L22:L28,"&lt;&gt;Absent")</f>
        <v>0</v>
      </c>
      <c r="J52" s="52">
        <f>SUMIFS(J22:J28,C22:C28,"&lt;&gt;Thursday",C22:C28,"&lt;&gt;",L22:L28,"&lt;&gt;Absent")</f>
        <v>96</v>
      </c>
      <c r="K52" s="50">
        <f>SUMIFS(K22:K28,C22:C28,"&lt;&gt;Thursday",C22:C28,"&lt;&gt;",L22:L28,"&lt;&gt;Absent")</f>
        <v>5568</v>
      </c>
      <c r="L52" s="53" t="str">
        <f>IF(COUNTIFS(C22:C28,"&lt;&gt;")=0,"",COUNTIF(L22:L28,"✓")&amp;" hits  |  "&amp;COUNTIF(L22:L28,"Absent")&amp;" absent")</f>
        <v>0 hits  |  0 absent</v>
      </c>
      <c r="M52" s="51"/>
    </row>
    <row r="53" spans="1:13" ht="24" customHeight="1" x14ac:dyDescent="0.25">
      <c r="A53" s="60" t="str">
        <f>IF(COUNTIFS(C29:C35,"&lt;&gt;")=0,"","WEEK 4  (Mon "&amp;TEXT(B29,"MMM D")&amp;" – Sun "&amp;TEXT(B35,"MMM D")&amp;")")</f>
        <v>WEEK 4  (Mon May 17 – Sun May 23)</v>
      </c>
      <c r="B53" s="60"/>
      <c r="C53" s="60"/>
      <c r="D53" s="50">
        <f>SUMIFS(D29:D35,C29:C35,"&lt;&gt;Thursday",C29:C35,"&lt;&gt;",L29:L35,"&lt;&gt;Absent")</f>
        <v>0</v>
      </c>
      <c r="E53" s="50">
        <f>SUMIFS(E29:E35,C29:C35,"&lt;&gt;Thursday",C29:C35,"&lt;&gt;",L29:L35,"&lt;&gt;Absent")</f>
        <v>0</v>
      </c>
      <c r="F53" s="51"/>
      <c r="G53" s="50">
        <f>SUMIFS(G29:G35,C29:C35,"&lt;&gt;Thursday",C29:C35,"&lt;&gt;",L29:L35,"&lt;&gt;Absent")</f>
        <v>96</v>
      </c>
      <c r="H53" s="51"/>
      <c r="I53" s="50">
        <f>SUMIFS(I29:I35,C29:C35,"&lt;&gt;Thursday",C29:C35,"&lt;&gt;",L29:L35,"&lt;&gt;Absent")</f>
        <v>0</v>
      </c>
      <c r="J53" s="52">
        <f>SUMIFS(J29:J35,C29:C35,"&lt;&gt;Thursday",C29:C35,"&lt;&gt;",L29:L35,"&lt;&gt;Absent")</f>
        <v>96</v>
      </c>
      <c r="K53" s="50">
        <f>SUMIFS(K29:K35,C29:C35,"&lt;&gt;Thursday",C29:C35,"&lt;&gt;",L29:L35,"&lt;&gt;Absent")</f>
        <v>5568</v>
      </c>
      <c r="L53" s="53" t="str">
        <f>IF(COUNTIFS(C29:C35,"&lt;&gt;")=0,"",COUNTIF(L29:L35,"✓")&amp;" hits  |  "&amp;COUNTIF(L29:L35,"Absent")&amp;" absent")</f>
        <v>0 hits  |  0 absent</v>
      </c>
      <c r="M53" s="51"/>
    </row>
    <row r="54" spans="1:13" ht="24" customHeight="1" x14ac:dyDescent="0.25">
      <c r="A54" s="60" t="str">
        <f>IF(COUNTIFS(C36:C42,"&lt;&gt;")=0,"","WEEK 5  (Mon "&amp;TEXT(B36,"MMM D")&amp;" – Sun "&amp;TEXT(B42,"MMM D")&amp;")")</f>
        <v>WEEK 5  (Mon May 24 – Sun May 30)</v>
      </c>
      <c r="B54" s="60"/>
      <c r="C54" s="60"/>
      <c r="D54" s="50">
        <f>SUMIFS(D36:D42,C36:C42,"&lt;&gt;Thursday",C36:C42,"&lt;&gt;",L36:L42,"&lt;&gt;Absent")</f>
        <v>0</v>
      </c>
      <c r="E54" s="50">
        <f>SUMIFS(E36:E42,C36:C42,"&lt;&gt;Thursday",C36:C42,"&lt;&gt;",L36:L42,"&lt;&gt;Absent")</f>
        <v>0</v>
      </c>
      <c r="F54" s="51"/>
      <c r="G54" s="50">
        <f>SUMIFS(G36:G42,C36:C42,"&lt;&gt;Thursday",C36:C42,"&lt;&gt;",L36:L42,"&lt;&gt;Absent")</f>
        <v>96</v>
      </c>
      <c r="H54" s="51"/>
      <c r="I54" s="50">
        <f>SUMIFS(I36:I42,C36:C42,"&lt;&gt;Thursday",C36:C42,"&lt;&gt;",L36:L42,"&lt;&gt;Absent")</f>
        <v>0</v>
      </c>
      <c r="J54" s="52">
        <f>SUMIFS(J36:J42,C36:C42,"&lt;&gt;Thursday",C36:C42,"&lt;&gt;",L36:L42,"&lt;&gt;Absent")</f>
        <v>96</v>
      </c>
      <c r="K54" s="50">
        <f>SUMIFS(K36:K42,C36:C42,"&lt;&gt;Thursday",C36:C42,"&lt;&gt;",L36:L42,"&lt;&gt;Absent")</f>
        <v>5568</v>
      </c>
      <c r="L54" s="53" t="str">
        <f>IF(COUNTIFS(C36:C42,"&lt;&gt;")=0,"",COUNTIF(L36:L42,"✓")&amp;" hits  |  "&amp;COUNTIF(L36:L42,"Absent")&amp;" absent")</f>
        <v>0 hits  |  0 absent</v>
      </c>
      <c r="M54" s="51"/>
    </row>
    <row r="55" spans="1:13" ht="24" customHeight="1" x14ac:dyDescent="0.25">
      <c r="A55" s="60" t="str">
        <f>IF(COUNTIFS(C43:C49,"&lt;&gt;")=0,"","WEEK 6  (Mon "&amp;TEXT(B43,"MMM D")&amp;" – Sun "&amp;TEXT(B49,"MMM D")&amp;")")</f>
        <v>WEEK 6  (Mon May 31 – Sun )</v>
      </c>
      <c r="B55" s="60"/>
      <c r="C55" s="60"/>
      <c r="D55" s="50">
        <f>SUMIFS(D43:D49,C43:C49,"&lt;&gt;Thursday",C43:C49,"&lt;&gt;",L43:L49,"&lt;&gt;Absent")</f>
        <v>0</v>
      </c>
      <c r="E55" s="50">
        <f>SUMIFS(E43:E49,C43:C49,"&lt;&gt;Thursday",C43:C49,"&lt;&gt;",L43:L49,"&lt;&gt;Absent")</f>
        <v>0</v>
      </c>
      <c r="F55" s="51"/>
      <c r="G55" s="50">
        <f>SUMIFS(G43:G49,C43:C49,"&lt;&gt;Thursday",C43:C49,"&lt;&gt;",L43:L49,"&lt;&gt;Absent")</f>
        <v>16</v>
      </c>
      <c r="H55" s="51"/>
      <c r="I55" s="50">
        <f>SUMIFS(I43:I49,C43:C49,"&lt;&gt;Thursday",C43:C49,"&lt;&gt;",L43:L49,"&lt;&gt;Absent")</f>
        <v>0</v>
      </c>
      <c r="J55" s="52">
        <f>SUMIFS(J43:J49,C43:C49,"&lt;&gt;Thursday",C43:C49,"&lt;&gt;",L43:L49,"&lt;&gt;Absent")</f>
        <v>16</v>
      </c>
      <c r="K55" s="50">
        <f>SUMIFS(K43:K49,C43:C49,"&lt;&gt;Thursday",C43:C49,"&lt;&gt;",L43:L49,"&lt;&gt;Absent")</f>
        <v>928</v>
      </c>
      <c r="L55" s="53" t="str">
        <f>IF(COUNTIFS(C43:C49,"&lt;&gt;")=0,"",COUNTIF(L43:L49,"✓")&amp;" hits  |  "&amp;COUNTIF(L43:L49,"Absent")&amp;" absent")</f>
        <v>0 hits  |  0 absent</v>
      </c>
      <c r="M55" s="51"/>
    </row>
    <row r="56" spans="1:13" ht="27.75" customHeight="1" x14ac:dyDescent="0.25">
      <c r="A56" s="59" t="str">
        <f>"MONTHLY TOTAL  —  "&amp;C3&amp;" "&amp;D3&amp;"  |  "&amp;C4</f>
        <v>MONTHLY TOTAL  —  May 2027  |  4:00 PM – 12:00 MN</v>
      </c>
      <c r="B56" s="59"/>
      <c r="C56" s="59"/>
      <c r="D56" s="54">
        <f>SUMIFS(D8:D49,C8:C49,"&lt;&gt;Thursday",C8:C49,"&lt;&gt;",L8:L49,"&lt;&gt;Absent")</f>
        <v>0</v>
      </c>
      <c r="E56" s="54">
        <f>SUMIFS(E8:E49,C8:C49,"&lt;&gt;Thursday",C8:C49,"&lt;&gt;",L8:L49,"&lt;&gt;Absent")</f>
        <v>0</v>
      </c>
      <c r="F56" s="55"/>
      <c r="G56" s="54">
        <f>SUMIFS(G8:G49,C8:C49,"&lt;&gt;Thursday",C8:C49,"&lt;&gt;",L8:L49,"&lt;&gt;Absent")</f>
        <v>432</v>
      </c>
      <c r="H56" s="55"/>
      <c r="I56" s="54">
        <f>SUMIFS(I8:I49,C8:C49,"&lt;&gt;Thursday",C8:C49,"&lt;&gt;",L8:L49,"&lt;&gt;Absent")</f>
        <v>0</v>
      </c>
      <c r="J56" s="56">
        <f>SUMIFS(J8:J49,C8:C49,"&lt;&gt;Thursday",C8:C49,"&lt;&gt;",L8:L49,"&lt;&gt;Absent")</f>
        <v>432</v>
      </c>
      <c r="K56" s="57">
        <f>SUMIFS(K8:K49,C8:C49,"&lt;&gt;Thursday",C8:C49,"&lt;&gt;",L8:L49,"&lt;&gt;Absent")</f>
        <v>25056</v>
      </c>
      <c r="L56" s="58" t="str">
        <f>COUNTIF(L8:L49,"Absent")&amp;" absences  |  "&amp;COUNTIF(L8:L49,"✓")&amp;" goals hit"</f>
        <v>0 absences  |  0 goals hit</v>
      </c>
      <c r="M56" s="55"/>
    </row>
  </sheetData>
  <mergeCells count="21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50:C50"/>
    <mergeCell ref="A56:C56"/>
    <mergeCell ref="A51:C51"/>
    <mergeCell ref="A52:C52"/>
    <mergeCell ref="A53:C53"/>
    <mergeCell ref="A54:C54"/>
    <mergeCell ref="A55:C55"/>
  </mergeCells>
  <conditionalFormatting sqref="A8:M49">
    <cfRule type="expression" dxfId="47" priority="2">
      <formula>$B8=TODAY()</formula>
    </cfRule>
    <cfRule type="expression" dxfId="46" priority="3">
      <formula>$L8="Absent"</formula>
    </cfRule>
  </conditionalFormatting>
  <conditionalFormatting sqref="D8:M49">
    <cfRule type="expression" dxfId="45" priority="10">
      <formula>AND($E8&gt;=1000,$C8&lt;&gt;"",$C8&lt;&gt;"Thursday",$L8&lt;&gt;"Absent")</formula>
    </cfRule>
    <cfRule type="expression" dxfId="44" priority="11">
      <formula>AND($E8&gt;=500,$E8&lt;1000,$C8&lt;&gt;"",$C8&lt;&gt;"Thursday",$L8&lt;&gt;"Absent")</formula>
    </cfRule>
  </conditionalFormatting>
  <conditionalFormatting sqref="L8:L49">
    <cfRule type="expression" dxfId="43" priority="44">
      <formula>AND($J8&gt;=$J$3,$C8&lt;&gt;"Thursday",$C8&lt;&gt;"",$L8&lt;&gt;"Absent")</formula>
    </cfRule>
    <cfRule type="expression" dxfId="42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9" xr:uid="{00000000-0002-0000-1100-000000000000}">
      <formula1>"Absent"</formula1>
      <formula2>0</formula2>
    </dataValidation>
    <dataValidation type="list" sqref="C3" xr:uid="{00000000-0002-0000-1100-000001000000}">
      <formula1>"January,February,March,April,May,June,July,August,September,October,November,December"</formula1>
      <formula2>0</formula2>
    </dataValidation>
    <dataValidation type="list" sqref="D3" xr:uid="{00000000-0002-0000-1100-000002000000}">
      <formula1>"2025,2026,2027,2028,2029,2030"</formula1>
      <formula2>0</formula2>
    </dataValidation>
    <dataValidation type="list" sqref="C4" xr:uid="{00000000-0002-0000-11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53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416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416</v>
      </c>
      <c r="K5" s="24">
        <f>SUMIFS(K8:K42,K8:K42,"&lt;&gt;0",C8:C42,"&lt;&gt;Thursday",C8:C42,"&lt;&gt;",L8:L42,"&lt;&gt;Absent")</f>
        <v>24128</v>
      </c>
      <c r="L5" s="69" t="str">
        <f>COUNTIF(L8:L42,"✓")&amp;" / "&amp;COUNTIFS(C8:C42,"&lt;&gt;Thursday",C8:C42,"&lt;&gt;",L8:L42,"&lt;&gt;Absent")&amp;" days goal hit"</f>
        <v>0 / 31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496</v>
      </c>
      <c r="J6" s="63">
        <f>IFERROR(I6*L3,0)</f>
        <v>28768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customHeight="1" x14ac:dyDescent="0.25">
      <c r="A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>1</v>
      </c>
      <c r="B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>46539</v>
      </c>
      <c r="C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>Tuesday</v>
      </c>
      <c r="D9" s="47">
        <v>0</v>
      </c>
      <c r="E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8</v>
      </c>
      <c r="G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16</v>
      </c>
      <c r="H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>0%</v>
      </c>
      <c r="I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16</v>
      </c>
      <c r="K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928</v>
      </c>
      <c r="L9" s="49"/>
      <c r="M9" s="49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2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46540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46541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4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46542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5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46543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6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46544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7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46545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8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46546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9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46547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46548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11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46549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12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46550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13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46551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14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46552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15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46553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16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46554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46555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18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46556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19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46557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20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46558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21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46559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22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46560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23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46561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46562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25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46563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26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46564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27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46565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28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46566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29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46567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30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46568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hidden="1" customHeight="1" x14ac:dyDescent="0.25">
      <c r="A3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/>
      </c>
      <c r="B3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/>
      </c>
      <c r="C3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/>
      </c>
      <c r="D39" s="32">
        <v>0</v>
      </c>
      <c r="E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/>
      </c>
      <c r="I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34"/>
      <c r="M39" s="35"/>
    </row>
    <row r="40" spans="1:13" ht="21.75" hidden="1" customHeight="1" x14ac:dyDescent="0.25">
      <c r="A4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/>
      </c>
      <c r="B4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/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/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0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0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/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0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0</v>
      </c>
      <c r="L40" s="34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Jun 6)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80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80</v>
      </c>
      <c r="K43" s="50">
        <f>SUMIFS(K8:K14,C8:C14,"&lt;&gt;Thursday",C8:C14,"&lt;&gt;",L8:L14,"&lt;&gt;Absent")</f>
        <v>4640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Jun 7 – Sun Jun 13)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Jun 14 – Sun Jun 20)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Jun 21 – Sun Jun 27)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Jun 28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48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48</v>
      </c>
      <c r="K47" s="50">
        <f>SUMIFS(K36:K42,C36:C42,"&lt;&gt;Thursday",C36:C42,"&lt;&gt;",L36:L42,"&lt;&gt;Absent")</f>
        <v>2784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June 2027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416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416</v>
      </c>
      <c r="K48" s="57">
        <f>SUMIFS(K8:K42,C8:C42,"&lt;&gt;Thursday",C8:C42,"&lt;&gt;",L8:L42,"&lt;&gt;Absent")</f>
        <v>24128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41" priority="2">
      <formula>$B8=TODAY()</formula>
    </cfRule>
    <cfRule type="expression" dxfId="40" priority="3">
      <formula>$L8="Absent"</formula>
    </cfRule>
  </conditionalFormatting>
  <conditionalFormatting sqref="D8:M42">
    <cfRule type="expression" dxfId="39" priority="10">
      <formula>AND($E8&gt;=1000,$C8&lt;&gt;"",$C8&lt;&gt;"Thursday",$L8&lt;&gt;"Absent")</formula>
    </cfRule>
    <cfRule type="expression" dxfId="38" priority="11">
      <formula>AND($E8&gt;=500,$E8&lt;1000,$C8&lt;&gt;"",$C8&lt;&gt;"Thursday",$L8&lt;&gt;"Absent")</formula>
    </cfRule>
  </conditionalFormatting>
  <conditionalFormatting sqref="L8:L42">
    <cfRule type="expression" dxfId="37" priority="44">
      <formula>AND($J8&gt;=$J$3,$C8&lt;&gt;"Thursday",$C8&lt;&gt;"",$L8&lt;&gt;"Absent")</formula>
    </cfRule>
    <cfRule type="expression" dxfId="36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1200-000000000000}">
      <formula1>"Absent"</formula1>
      <formula2>0</formula2>
    </dataValidation>
    <dataValidation type="list" sqref="C3" xr:uid="{00000000-0002-0000-1200-000001000000}">
      <formula1>"January,February,March,April,May,June,July,August,September,October,November,December"</formula1>
      <formula2>0</formula2>
    </dataValidation>
    <dataValidation type="list" sqref="D3" xr:uid="{00000000-0002-0000-1200-000002000000}">
      <formula1>"2025,2026,2027,2028,2029,2030"</formula1>
      <formula2>0</formula2>
    </dataValidation>
    <dataValidation type="list" sqref="C4" xr:uid="{00000000-0002-0000-12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54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416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416</v>
      </c>
      <c r="K5" s="24">
        <f>SUMIFS(K8:K42,K8:K42,"&lt;&gt;0",C8:C42,"&lt;&gt;Thursday",C8:C42,"&lt;&gt;",L8:L42,"&lt;&gt;Absent")</f>
        <v>24128</v>
      </c>
      <c r="L5" s="69" t="str">
        <f>COUNTIF(L8:L42,"✓")&amp;" / "&amp;COUNTIFS(C8:C42,"&lt;&gt;Thursday",C8:C42,"&lt;&gt;",L8:L42,"&lt;&gt;Absent")&amp;" days goal hit"</f>
        <v>0 / 30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480</v>
      </c>
      <c r="J6" s="63">
        <f>IFERROR(I6*L3,0)</f>
        <v>27840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46569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2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46570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3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46571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4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46572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5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46573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6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46574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7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46575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46576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9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46577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10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46578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11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46579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12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46580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13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46581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14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46582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46583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16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46584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17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46585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18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46586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19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46587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20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46588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21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46589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46590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23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46591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24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46592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25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46593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26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46594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27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46595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28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46596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46597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30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46598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31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46599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Jul 4)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48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48</v>
      </c>
      <c r="K43" s="50">
        <f>SUMIFS(K8:K14,C8:C14,"&lt;&gt;Thursday",C8:C14,"&lt;&gt;",L8:L14,"&lt;&gt;Absent")</f>
        <v>2784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Jul 5 – Sun Jul 11)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Jul 12 – Sun Jul 18)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Jul 19 – Sun Jul 25)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Jul 26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80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80</v>
      </c>
      <c r="K47" s="50">
        <f>SUMIFS(K36:K42,C36:C42,"&lt;&gt;Thursday",C36:C42,"&lt;&gt;",L36:L42,"&lt;&gt;Absent")</f>
        <v>4640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July 2027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416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416</v>
      </c>
      <c r="K48" s="57">
        <f>SUMIFS(K8:K42,C8:C42,"&lt;&gt;Thursday",C8:C42,"&lt;&gt;",L8:L42,"&lt;&gt;Absent")</f>
        <v>24128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35" priority="2">
      <formula>$B8=TODAY()</formula>
    </cfRule>
    <cfRule type="expression" dxfId="34" priority="3">
      <formula>$L8="Absent"</formula>
    </cfRule>
  </conditionalFormatting>
  <conditionalFormatting sqref="D8:M42">
    <cfRule type="expression" dxfId="33" priority="10">
      <formula>AND($E8&gt;=1000,$C8&lt;&gt;"",$C8&lt;&gt;"Thursday",$L8&lt;&gt;"Absent")</formula>
    </cfRule>
    <cfRule type="expression" dxfId="32" priority="11">
      <formula>AND($E8&gt;=500,$E8&lt;1000,$C8&lt;&gt;"",$C8&lt;&gt;"Thursday",$L8&lt;&gt;"Absent")</formula>
    </cfRule>
  </conditionalFormatting>
  <conditionalFormatting sqref="L8:L42">
    <cfRule type="expression" dxfId="31" priority="44">
      <formula>AND($J8&gt;=$J$3,$C8&lt;&gt;"Thursday",$C8&lt;&gt;"",$L8&lt;&gt;"Absent")</formula>
    </cfRule>
    <cfRule type="expression" dxfId="30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1300-000000000000}">
      <formula1>"Absent"</formula1>
      <formula2>0</formula2>
    </dataValidation>
    <dataValidation type="list" sqref="C3" xr:uid="{00000000-0002-0000-1300-000001000000}">
      <formula1>"January,February,March,April,May,June,July,August,September,October,November,December"</formula1>
      <formula2>0</formula2>
    </dataValidation>
    <dataValidation type="list" sqref="D3" xr:uid="{00000000-0002-0000-1300-000002000000}">
      <formula1>"2025,2026,2027,2028,2029,2030"</formula1>
      <formula2>0</formula2>
    </dataValidation>
    <dataValidation type="list" sqref="C4" xr:uid="{00000000-0002-0000-13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6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55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SUMIFS(D8:D49,D8:D49,"&lt;&gt;0",C8:C49,"&lt;&gt;Thursday",C8:C49,"&lt;&gt;",L8:L49,"&lt;&gt;Absent")</f>
        <v>0</v>
      </c>
      <c r="E5" s="24">
        <f>SUMIFS(E8:E49,E8:E49,"&lt;&gt;0",C8:C49,"&lt;&gt;Thursday",C8:C49,"&lt;&gt;",L8:L49,"&lt;&gt;Absent")</f>
        <v>0</v>
      </c>
      <c r="F5" s="25"/>
      <c r="G5" s="24">
        <f>SUMIFS(G8:G49,G8:G49,"&lt;&gt;0",C8:C49,"&lt;&gt;Thursday",C8:C49,"&lt;&gt;",L8:L49,"&lt;&gt;Absent")</f>
        <v>432</v>
      </c>
      <c r="H5" s="25"/>
      <c r="I5" s="24">
        <f>SUMIFS(I8:I49,I8:I49,"&lt;&gt;0",C8:C49,"&lt;&gt;Thursday",C8:C49,"&lt;&gt;",L8:L49,"&lt;&gt;Absent")</f>
        <v>0</v>
      </c>
      <c r="J5" s="24">
        <f>SUMIFS(J8:J49,J8:J49,"&lt;&gt;0",C8:C49,"&lt;&gt;Thursday",C8:C49,"&lt;&gt;",L8:L49,"&lt;&gt;Absent")</f>
        <v>432</v>
      </c>
      <c r="K5" s="24">
        <f>SUMIFS(K8:K49,K8:K49,"&lt;&gt;0",C8:C49,"&lt;&gt;Thursday",C8:C49,"&lt;&gt;",L8:L49,"&lt;&gt;Absent")</f>
        <v>25056</v>
      </c>
      <c r="L5" s="69" t="str">
        <f>COUNTIF(L8:L49,"✓")&amp;" / "&amp;COUNTIFS(C8:C49,"&lt;&gt;Thursday",C8:C49,"&lt;&gt;",L8:L49,"&lt;&gt;Absent")&amp;" days goal hit"</f>
        <v>0 / 38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IF(MAX(D8:D49)=0,"—",MAX(D8:D49))</f>
        <v>—</v>
      </c>
      <c r="E6" s="26" t="str">
        <f>IF(MAX(E8:E49)=0,"—",MAX(E8:E49))</f>
        <v>—</v>
      </c>
      <c r="F6" s="62" t="s">
        <v>34</v>
      </c>
      <c r="G6" s="62"/>
      <c r="H6" s="27">
        <f>IFERROR(J5/MAX(1,COUNTIFS(C8:C49,"&lt;&gt;Thursday",J8:J49,"&lt;&gt;0",L8:L49,"&lt;&gt;Absent")),0)</f>
        <v>16</v>
      </c>
      <c r="I6" s="28">
        <f>IFERROR(J5/MAX(1,COUNTIFS(C8:C49,"&lt;&gt;Thursday",J8:J49,"&lt;&gt;0",L8:L49,"&lt;&gt;Absent"))*COUNTIFS(C8:C49,"&lt;&gt;Thursday",B8:B49,"&lt;&gt;",L8:L49,"&lt;&gt;Absent"),0)</f>
        <v>608</v>
      </c>
      <c r="J6" s="63">
        <f>IFERROR(I6*L3,0)</f>
        <v>35264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hidden="1" customHeight="1" x14ac:dyDescent="0.25">
      <c r="A1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/>
      </c>
      <c r="B1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/>
      </c>
      <c r="C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/>
      </c>
      <c r="D11" s="32">
        <v>0</v>
      </c>
      <c r="E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/>
      </c>
      <c r="I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34"/>
      <c r="M11" s="35"/>
    </row>
    <row r="12" spans="1:13" ht="21.75" hidden="1" customHeight="1" x14ac:dyDescent="0.25">
      <c r="A1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/>
      </c>
      <c r="B1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/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/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0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0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/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0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0</v>
      </c>
      <c r="L12" s="34"/>
      <c r="M12" s="35"/>
    </row>
    <row r="13" spans="1:13" ht="21.75" hidden="1" customHeight="1" x14ac:dyDescent="0.25">
      <c r="A13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/>
      </c>
      <c r="B13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/>
      </c>
      <c r="C13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/>
      </c>
      <c r="D13" s="32">
        <v>0</v>
      </c>
      <c r="E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0</v>
      </c>
      <c r="G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0</v>
      </c>
      <c r="H13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/>
      </c>
      <c r="I13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0</v>
      </c>
      <c r="K13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0</v>
      </c>
      <c r="L13" s="34"/>
      <c r="M13" s="35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1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46600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2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46601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3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46602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4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46603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46604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6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46605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7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46606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8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46607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9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46608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10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46609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11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46610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46611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13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46612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14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46613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15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46614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16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46615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17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46616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18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46617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46618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20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46619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21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46620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22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46621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23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46622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24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46623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25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46624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46625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27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46626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28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46627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customHeight="1" x14ac:dyDescent="0.25">
      <c r="A4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>29</v>
      </c>
      <c r="B4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>46628</v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>Sunday</v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8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16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>0%</v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16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928</v>
      </c>
      <c r="L42" s="35"/>
      <c r="M42" s="35"/>
    </row>
    <row r="43" spans="1:13" ht="21.75" customHeight="1" x14ac:dyDescent="0.25">
      <c r="A4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))</f>
        <v>30</v>
      </c>
      <c r="B4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</f>
        <v>46629</v>
      </c>
      <c r="C4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TEXT(B43,"DDDD"))</f>
        <v>Monday</v>
      </c>
      <c r="D43" s="47">
        <v>0</v>
      </c>
      <c r="E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IF(D43=0,0,D43*0.8),0)</f>
        <v>0</v>
      </c>
      <c r="F4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8,0)</f>
        <v>8</v>
      </c>
      <c r="G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F43*2,0)</f>
        <v>16</v>
      </c>
      <c r="H4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,"—",IF(L43="Absent","Absent",IF(E43=0,"0%",IF(E43&lt;500,"3%",IF(E43&lt;1000,"4%","5%"))))))</f>
        <v>0%</v>
      </c>
      <c r="I4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IF(E43=0,0,IF(E43&lt;500,E43*0.03,IF(E43&lt;1000,E43*0.04,E43*0.05))),0)</f>
        <v>0</v>
      </c>
      <c r="J4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G43+I43,0)</f>
        <v>16</v>
      </c>
      <c r="K4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+35,"DDDD")="Thursday"),NOT(L43="Absent")),J43*$L$3,0)</f>
        <v>928</v>
      </c>
      <c r="L43" s="49"/>
      <c r="M43" s="49"/>
    </row>
    <row r="44" spans="1:13" ht="21.75" customHeight="1" x14ac:dyDescent="0.25">
      <c r="A4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))</f>
        <v>31</v>
      </c>
      <c r="B4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</f>
        <v>46630</v>
      </c>
      <c r="C4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TEXT(B44,"DDDD"))</f>
        <v>Tuesday</v>
      </c>
      <c r="D44" s="32">
        <v>0</v>
      </c>
      <c r="E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IF(D44=0,0,D44*0.8),0)</f>
        <v>0</v>
      </c>
      <c r="F4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8,0)</f>
        <v>8</v>
      </c>
      <c r="G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F44*2,0)</f>
        <v>16</v>
      </c>
      <c r="H4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,"—",IF(L44="Absent","Absent",IF(E44=0,"0%",IF(E44&lt;500,"3%",IF(E44&lt;1000,"4%","5%"))))))</f>
        <v>0%</v>
      </c>
      <c r="I4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IF(E44=0,0,IF(E44&lt;500,E44*0.03,IF(E44&lt;1000,E44*0.04,E44*0.05))),0)</f>
        <v>0</v>
      </c>
      <c r="J4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G44+I44,0)</f>
        <v>16</v>
      </c>
      <c r="K4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+36,"DDDD")="Thursday"),NOT(L44="Absent")),J44*$L$3,0)</f>
        <v>928</v>
      </c>
      <c r="L44" s="35"/>
      <c r="M44" s="35"/>
    </row>
    <row r="45" spans="1:13" ht="21.75" hidden="1" customHeight="1" x14ac:dyDescent="0.25">
      <c r="A45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))</f>
        <v/>
      </c>
      <c r="B45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</f>
        <v/>
      </c>
      <c r="C45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TEXT(B45,"DDDD"))</f>
        <v/>
      </c>
      <c r="D45" s="32">
        <v>0</v>
      </c>
      <c r="E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IF(D45=0,0,D45*0.8),0)</f>
        <v>0</v>
      </c>
      <c r="F45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8,0)</f>
        <v>0</v>
      </c>
      <c r="G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F45*2,0)</f>
        <v>0</v>
      </c>
      <c r="H45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,"—",IF(L45="Absent","Absent",IF(E45=0,"0%",IF(E45&lt;500,"3%",IF(E45&lt;1000,"4%","5%"))))))</f>
        <v/>
      </c>
      <c r="I45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IF(E45=0,0,IF(E45&lt;500,E45*0.03,IF(E45&lt;1000,E45*0.04,E45*0.05))),0)</f>
        <v>0</v>
      </c>
      <c r="J45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G45+I45,0)</f>
        <v>0</v>
      </c>
      <c r="K45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+37,"DDDD")="Thursday"),NOT(L45="Absent")),J45*$L$3,0)</f>
        <v>0</v>
      </c>
      <c r="L45" s="34"/>
      <c r="M45" s="35"/>
    </row>
    <row r="46" spans="1:13" ht="21.75" hidden="1" customHeight="1" x14ac:dyDescent="0.25">
      <c r="A46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))</f>
        <v/>
      </c>
      <c r="B46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</f>
        <v/>
      </c>
      <c r="C4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TEXT(B46,"DDDD"))</f>
        <v/>
      </c>
      <c r="D46" s="32">
        <v>0</v>
      </c>
      <c r="E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IF(D46=0,0,D46*0.8),0)</f>
        <v>0</v>
      </c>
      <c r="F4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8,0)</f>
        <v>0</v>
      </c>
      <c r="G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F46*2,0)</f>
        <v>0</v>
      </c>
      <c r="H4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,"—",IF(L46="Absent","Absent",IF(E46=0,"0%",IF(E46&lt;500,"3%",IF(E46&lt;1000,"4%","5%"))))))</f>
        <v/>
      </c>
      <c r="I4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IF(E46=0,0,IF(E46&lt;500,E46*0.03,IF(E46&lt;1000,E46*0.04,E46*0.05))),0)</f>
        <v>0</v>
      </c>
      <c r="J4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G46+I46,0)</f>
        <v>0</v>
      </c>
      <c r="K4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+38,"DDDD")="Thursday"),NOT(L46="Absent")),J46*$L$3,0)</f>
        <v>0</v>
      </c>
      <c r="L46" s="34"/>
      <c r="M46" s="35"/>
    </row>
    <row r="47" spans="1:13" ht="21.75" hidden="1" customHeight="1" x14ac:dyDescent="0.25">
      <c r="A47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))</f>
        <v/>
      </c>
      <c r="B47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</f>
        <v/>
      </c>
      <c r="C47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TEXT(B47,"DDDD"))</f>
        <v/>
      </c>
      <c r="D47" s="32">
        <v>0</v>
      </c>
      <c r="E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IF(D47=0,0,D47*0.8),0)</f>
        <v>0</v>
      </c>
      <c r="F47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8,0)</f>
        <v>0</v>
      </c>
      <c r="G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F47*2,0)</f>
        <v>0</v>
      </c>
      <c r="H47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,"—",IF(L47="Absent","Absent",IF(E47=0,"0%",IF(E47&lt;500,"3%",IF(E47&lt;1000,"4%","5%"))))))</f>
        <v/>
      </c>
      <c r="I47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IF(E47=0,0,IF(E47&lt;500,E47*0.03,IF(E47&lt;1000,E47*0.04,E47*0.05))),0)</f>
        <v>0</v>
      </c>
      <c r="J47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G47+I47,0)</f>
        <v>0</v>
      </c>
      <c r="K47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+39,"DDDD")="Thursday"),NOT(L47="Absent")),J47*$L$3,0)</f>
        <v>0</v>
      </c>
      <c r="L47" s="34"/>
      <c r="M47" s="35"/>
    </row>
    <row r="48" spans="1:13" ht="21.75" hidden="1" customHeight="1" x14ac:dyDescent="0.25">
      <c r="A4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))</f>
        <v/>
      </c>
      <c r="B4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</f>
        <v/>
      </c>
      <c r="C4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TEXT(B48,"DDDD"))</f>
        <v/>
      </c>
      <c r="D48" s="32">
        <v>0</v>
      </c>
      <c r="E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IF(D48=0,0,D48*0.8),0)</f>
        <v>0</v>
      </c>
      <c r="F4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8,0)</f>
        <v>0</v>
      </c>
      <c r="G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F48*2,0)</f>
        <v>0</v>
      </c>
      <c r="H4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,"—",IF(L48="Absent","Absent",IF(E48=0,"0%",IF(E48&lt;500,"3%",IF(E48&lt;1000,"4%","5%"))))))</f>
        <v/>
      </c>
      <c r="I4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IF(E48=0,0,IF(E48&lt;500,E48*0.03,IF(E48&lt;1000,E48*0.04,E48*0.05))),0)</f>
        <v>0</v>
      </c>
      <c r="J4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G48+I48,0)</f>
        <v>0</v>
      </c>
      <c r="K4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+40,"DDDD")="Thursday"),NOT(L48="Absent")),J48*$L$3,0)</f>
        <v>0</v>
      </c>
      <c r="L48" s="34"/>
      <c r="M48" s="35"/>
    </row>
    <row r="49" spans="1:13" ht="21.75" hidden="1" customHeight="1" x14ac:dyDescent="0.25">
      <c r="A4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))</f>
        <v/>
      </c>
      <c r="B4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</f>
        <v/>
      </c>
      <c r="C4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TEXT(B49,"DDDD"))</f>
        <v/>
      </c>
      <c r="D49" s="32">
        <v>0</v>
      </c>
      <c r="E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IF(D49=0,0,D49*0.8),0)</f>
        <v>0</v>
      </c>
      <c r="F4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8,0)</f>
        <v>0</v>
      </c>
      <c r="G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F49*2,0)</f>
        <v>0</v>
      </c>
      <c r="H4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,"—",IF(L49="Absent","Absent",IF(E49=0,"0%",IF(E49&lt;500,"3%",IF(E49&lt;1000,"4%","5%"))))))</f>
        <v/>
      </c>
      <c r="I4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IF(E49=0,0,IF(E49&lt;500,E49*0.03,IF(E49&lt;1000,E49*0.04,E49*0.05))),0)</f>
        <v>0</v>
      </c>
      <c r="J4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G49+I49,0)</f>
        <v>0</v>
      </c>
      <c r="K4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+41,"DDDD")="Thursday"),NOT(L49="Absent")),J49*$L$3,0)</f>
        <v>0</v>
      </c>
      <c r="L49" s="34"/>
      <c r="M49" s="35"/>
    </row>
    <row r="50" spans="1:13" ht="24" customHeight="1" x14ac:dyDescent="0.25">
      <c r="A50" s="60" t="str">
        <f>IF(COUNTIFS(C8:C14,"&lt;&gt;")=0,"","WEEK 1  (Mon "&amp;TEXT(B8,"MMM D")&amp;" – Sun "&amp;TEXT(B14,"MMM D")&amp;")")</f>
        <v>WEEK 1  (Mon  – Sun Aug 1)</v>
      </c>
      <c r="B50" s="60"/>
      <c r="C50" s="60"/>
      <c r="D50" s="50">
        <f>SUMIFS(D8:D14,C8:C14,"&lt;&gt;Thursday",C8:C14,"&lt;&gt;",L8:L14,"&lt;&gt;Absent")</f>
        <v>0</v>
      </c>
      <c r="E50" s="50">
        <f>SUMIFS(E8:E14,C8:C14,"&lt;&gt;Thursday",C8:C14,"&lt;&gt;",L8:L14,"&lt;&gt;Absent")</f>
        <v>0</v>
      </c>
      <c r="F50" s="51"/>
      <c r="G50" s="50">
        <f>SUMIFS(G8:G14,C8:C14,"&lt;&gt;Thursday",C8:C14,"&lt;&gt;",L8:L14,"&lt;&gt;Absent")</f>
        <v>16</v>
      </c>
      <c r="H50" s="51"/>
      <c r="I50" s="50">
        <f>SUMIFS(I8:I14,C8:C14,"&lt;&gt;Thursday",C8:C14,"&lt;&gt;",L8:L14,"&lt;&gt;Absent")</f>
        <v>0</v>
      </c>
      <c r="J50" s="52">
        <f>SUMIFS(J8:J14,C8:C14,"&lt;&gt;Thursday",C8:C14,"&lt;&gt;",L8:L14,"&lt;&gt;Absent")</f>
        <v>16</v>
      </c>
      <c r="K50" s="50">
        <f>SUMIFS(K8:K14,C8:C14,"&lt;&gt;Thursday",C8:C14,"&lt;&gt;",L8:L14,"&lt;&gt;Absent")</f>
        <v>928</v>
      </c>
      <c r="L50" s="53" t="str">
        <f>IF(COUNTIFS(C8:C14,"&lt;&gt;")=0,"",COUNTIF(L8:L14,"✓")&amp;" hits  |  "&amp;COUNTIF(L8:L14,"Absent")&amp;" absent")</f>
        <v>0 hits  |  0 absent</v>
      </c>
      <c r="M50" s="51"/>
    </row>
    <row r="51" spans="1:13" ht="24" customHeight="1" x14ac:dyDescent="0.25">
      <c r="A51" s="60" t="str">
        <f>IF(COUNTIFS(C15:C21,"&lt;&gt;")=0,"","WEEK 2  (Mon "&amp;TEXT(B15,"MMM D")&amp;" – Sun "&amp;TEXT(B21,"MMM D")&amp;")")</f>
        <v>WEEK 2  (Mon Aug 2 – Sun Aug 8)</v>
      </c>
      <c r="B51" s="60"/>
      <c r="C51" s="60"/>
      <c r="D51" s="50">
        <f>SUMIFS(D15:D21,C15:C21,"&lt;&gt;Thursday",C15:C21,"&lt;&gt;",L15:L21,"&lt;&gt;Absent")</f>
        <v>0</v>
      </c>
      <c r="E51" s="50">
        <f>SUMIFS(E15:E21,C15:C21,"&lt;&gt;Thursday",C15:C21,"&lt;&gt;",L15:L21,"&lt;&gt;Absent")</f>
        <v>0</v>
      </c>
      <c r="F51" s="51"/>
      <c r="G51" s="50">
        <f>SUMIFS(G15:G21,C15:C21,"&lt;&gt;Thursday",C15:C21,"&lt;&gt;",L15:L21,"&lt;&gt;Absent")</f>
        <v>96</v>
      </c>
      <c r="H51" s="51"/>
      <c r="I51" s="50">
        <f>SUMIFS(I15:I21,C15:C21,"&lt;&gt;Thursday",C15:C21,"&lt;&gt;",L15:L21,"&lt;&gt;Absent")</f>
        <v>0</v>
      </c>
      <c r="J51" s="52">
        <f>SUMIFS(J15:J21,C15:C21,"&lt;&gt;Thursday",C15:C21,"&lt;&gt;",L15:L21,"&lt;&gt;Absent")</f>
        <v>96</v>
      </c>
      <c r="K51" s="50">
        <f>SUMIFS(K15:K21,C15:C21,"&lt;&gt;Thursday",C15:C21,"&lt;&gt;",L15:L21,"&lt;&gt;Absent")</f>
        <v>5568</v>
      </c>
      <c r="L51" s="53" t="str">
        <f>IF(COUNTIFS(C15:C21,"&lt;&gt;")=0,"",COUNTIF(L15:L21,"✓")&amp;" hits  |  "&amp;COUNTIF(L15:L21,"Absent")&amp;" absent")</f>
        <v>0 hits  |  0 absent</v>
      </c>
      <c r="M51" s="51"/>
    </row>
    <row r="52" spans="1:13" ht="24" customHeight="1" x14ac:dyDescent="0.25">
      <c r="A52" s="60" t="str">
        <f>IF(COUNTIFS(C22:C28,"&lt;&gt;")=0,"","WEEK 3  (Mon "&amp;TEXT(B22,"MMM D")&amp;" – Sun "&amp;TEXT(B28,"MMM D")&amp;")")</f>
        <v>WEEK 3  (Mon Aug 9 – Sun Aug 15)</v>
      </c>
      <c r="B52" s="60"/>
      <c r="C52" s="60"/>
      <c r="D52" s="50">
        <f>SUMIFS(D22:D28,C22:C28,"&lt;&gt;Thursday",C22:C28,"&lt;&gt;",L22:L28,"&lt;&gt;Absent")</f>
        <v>0</v>
      </c>
      <c r="E52" s="50">
        <f>SUMIFS(E22:E28,C22:C28,"&lt;&gt;Thursday",C22:C28,"&lt;&gt;",L22:L28,"&lt;&gt;Absent")</f>
        <v>0</v>
      </c>
      <c r="F52" s="51"/>
      <c r="G52" s="50">
        <f>SUMIFS(G22:G28,C22:C28,"&lt;&gt;Thursday",C22:C28,"&lt;&gt;",L22:L28,"&lt;&gt;Absent")</f>
        <v>96</v>
      </c>
      <c r="H52" s="51"/>
      <c r="I52" s="50">
        <f>SUMIFS(I22:I28,C22:C28,"&lt;&gt;Thursday",C22:C28,"&lt;&gt;",L22:L28,"&lt;&gt;Absent")</f>
        <v>0</v>
      </c>
      <c r="J52" s="52">
        <f>SUMIFS(J22:J28,C22:C28,"&lt;&gt;Thursday",C22:C28,"&lt;&gt;",L22:L28,"&lt;&gt;Absent")</f>
        <v>96</v>
      </c>
      <c r="K52" s="50">
        <f>SUMIFS(K22:K28,C22:C28,"&lt;&gt;Thursday",C22:C28,"&lt;&gt;",L22:L28,"&lt;&gt;Absent")</f>
        <v>5568</v>
      </c>
      <c r="L52" s="53" t="str">
        <f>IF(COUNTIFS(C22:C28,"&lt;&gt;")=0,"",COUNTIF(L22:L28,"✓")&amp;" hits  |  "&amp;COUNTIF(L22:L28,"Absent")&amp;" absent")</f>
        <v>0 hits  |  0 absent</v>
      </c>
      <c r="M52" s="51"/>
    </row>
    <row r="53" spans="1:13" ht="24" customHeight="1" x14ac:dyDescent="0.25">
      <c r="A53" s="60" t="str">
        <f>IF(COUNTIFS(C29:C35,"&lt;&gt;")=0,"","WEEK 4  (Mon "&amp;TEXT(B29,"MMM D")&amp;" – Sun "&amp;TEXT(B35,"MMM D")&amp;")")</f>
        <v>WEEK 4  (Mon Aug 16 – Sun Aug 22)</v>
      </c>
      <c r="B53" s="60"/>
      <c r="C53" s="60"/>
      <c r="D53" s="50">
        <f>SUMIFS(D29:D35,C29:C35,"&lt;&gt;Thursday",C29:C35,"&lt;&gt;",L29:L35,"&lt;&gt;Absent")</f>
        <v>0</v>
      </c>
      <c r="E53" s="50">
        <f>SUMIFS(E29:E35,C29:C35,"&lt;&gt;Thursday",C29:C35,"&lt;&gt;",L29:L35,"&lt;&gt;Absent")</f>
        <v>0</v>
      </c>
      <c r="F53" s="51"/>
      <c r="G53" s="50">
        <f>SUMIFS(G29:G35,C29:C35,"&lt;&gt;Thursday",C29:C35,"&lt;&gt;",L29:L35,"&lt;&gt;Absent")</f>
        <v>96</v>
      </c>
      <c r="H53" s="51"/>
      <c r="I53" s="50">
        <f>SUMIFS(I29:I35,C29:C35,"&lt;&gt;Thursday",C29:C35,"&lt;&gt;",L29:L35,"&lt;&gt;Absent")</f>
        <v>0</v>
      </c>
      <c r="J53" s="52">
        <f>SUMIFS(J29:J35,C29:C35,"&lt;&gt;Thursday",C29:C35,"&lt;&gt;",L29:L35,"&lt;&gt;Absent")</f>
        <v>96</v>
      </c>
      <c r="K53" s="50">
        <f>SUMIFS(K29:K35,C29:C35,"&lt;&gt;Thursday",C29:C35,"&lt;&gt;",L29:L35,"&lt;&gt;Absent")</f>
        <v>5568</v>
      </c>
      <c r="L53" s="53" t="str">
        <f>IF(COUNTIFS(C29:C35,"&lt;&gt;")=0,"",COUNTIF(L29:L35,"✓")&amp;" hits  |  "&amp;COUNTIF(L29:L35,"Absent")&amp;" absent")</f>
        <v>0 hits  |  0 absent</v>
      </c>
      <c r="M53" s="51"/>
    </row>
    <row r="54" spans="1:13" ht="24" customHeight="1" x14ac:dyDescent="0.25">
      <c r="A54" s="60" t="str">
        <f>IF(COUNTIFS(C36:C42,"&lt;&gt;")=0,"","WEEK 5  (Mon "&amp;TEXT(B36,"MMM D")&amp;" – Sun "&amp;TEXT(B42,"MMM D")&amp;")")</f>
        <v>WEEK 5  (Mon Aug 23 – Sun Aug 29)</v>
      </c>
      <c r="B54" s="60"/>
      <c r="C54" s="60"/>
      <c r="D54" s="50">
        <f>SUMIFS(D36:D42,C36:C42,"&lt;&gt;Thursday",C36:C42,"&lt;&gt;",L36:L42,"&lt;&gt;Absent")</f>
        <v>0</v>
      </c>
      <c r="E54" s="50">
        <f>SUMIFS(E36:E42,C36:C42,"&lt;&gt;Thursday",C36:C42,"&lt;&gt;",L36:L42,"&lt;&gt;Absent")</f>
        <v>0</v>
      </c>
      <c r="F54" s="51"/>
      <c r="G54" s="50">
        <f>SUMIFS(G36:G42,C36:C42,"&lt;&gt;Thursday",C36:C42,"&lt;&gt;",L36:L42,"&lt;&gt;Absent")</f>
        <v>96</v>
      </c>
      <c r="H54" s="51"/>
      <c r="I54" s="50">
        <f>SUMIFS(I36:I42,C36:C42,"&lt;&gt;Thursday",C36:C42,"&lt;&gt;",L36:L42,"&lt;&gt;Absent")</f>
        <v>0</v>
      </c>
      <c r="J54" s="52">
        <f>SUMIFS(J36:J42,C36:C42,"&lt;&gt;Thursday",C36:C42,"&lt;&gt;",L36:L42,"&lt;&gt;Absent")</f>
        <v>96</v>
      </c>
      <c r="K54" s="50">
        <f>SUMIFS(K36:K42,C36:C42,"&lt;&gt;Thursday",C36:C42,"&lt;&gt;",L36:L42,"&lt;&gt;Absent")</f>
        <v>5568</v>
      </c>
      <c r="L54" s="53" t="str">
        <f>IF(COUNTIFS(C36:C42,"&lt;&gt;")=0,"",COUNTIF(L36:L42,"✓")&amp;" hits  |  "&amp;COUNTIF(L36:L42,"Absent")&amp;" absent")</f>
        <v>0 hits  |  0 absent</v>
      </c>
      <c r="M54" s="51"/>
    </row>
    <row r="55" spans="1:13" ht="24" customHeight="1" x14ac:dyDescent="0.25">
      <c r="A55" s="60" t="str">
        <f>IF(COUNTIFS(C43:C49,"&lt;&gt;")=0,"","WEEK 6  (Mon "&amp;TEXT(B43,"MMM D")&amp;" – Sun "&amp;TEXT(B49,"MMM D")&amp;")")</f>
        <v>WEEK 6  (Mon Aug 30 – Sun )</v>
      </c>
      <c r="B55" s="60"/>
      <c r="C55" s="60"/>
      <c r="D55" s="50">
        <f>SUMIFS(D43:D49,C43:C49,"&lt;&gt;Thursday",C43:C49,"&lt;&gt;",L43:L49,"&lt;&gt;Absent")</f>
        <v>0</v>
      </c>
      <c r="E55" s="50">
        <f>SUMIFS(E43:E49,C43:C49,"&lt;&gt;Thursday",C43:C49,"&lt;&gt;",L43:L49,"&lt;&gt;Absent")</f>
        <v>0</v>
      </c>
      <c r="F55" s="51"/>
      <c r="G55" s="50">
        <f>SUMIFS(G43:G49,C43:C49,"&lt;&gt;Thursday",C43:C49,"&lt;&gt;",L43:L49,"&lt;&gt;Absent")</f>
        <v>32</v>
      </c>
      <c r="H55" s="51"/>
      <c r="I55" s="50">
        <f>SUMIFS(I43:I49,C43:C49,"&lt;&gt;Thursday",C43:C49,"&lt;&gt;",L43:L49,"&lt;&gt;Absent")</f>
        <v>0</v>
      </c>
      <c r="J55" s="52">
        <f>SUMIFS(J43:J49,C43:C49,"&lt;&gt;Thursday",C43:C49,"&lt;&gt;",L43:L49,"&lt;&gt;Absent")</f>
        <v>32</v>
      </c>
      <c r="K55" s="50">
        <f>SUMIFS(K43:K49,C43:C49,"&lt;&gt;Thursday",C43:C49,"&lt;&gt;",L43:L49,"&lt;&gt;Absent")</f>
        <v>1856</v>
      </c>
      <c r="L55" s="53" t="str">
        <f>IF(COUNTIFS(C43:C49,"&lt;&gt;")=0,"",COUNTIF(L43:L49,"✓")&amp;" hits  |  "&amp;COUNTIF(L43:L49,"Absent")&amp;" absent")</f>
        <v>0 hits  |  0 absent</v>
      </c>
      <c r="M55" s="51"/>
    </row>
    <row r="56" spans="1:13" ht="27.75" customHeight="1" x14ac:dyDescent="0.25">
      <c r="A56" s="59" t="str">
        <f>"MONTHLY TOTAL  —  "&amp;C3&amp;" "&amp;D3&amp;"  |  "&amp;C4</f>
        <v>MONTHLY TOTAL  —  August 2027  |  4:00 PM – 12:00 MN</v>
      </c>
      <c r="B56" s="59"/>
      <c r="C56" s="59"/>
      <c r="D56" s="54">
        <f>SUMIFS(D8:D49,C8:C49,"&lt;&gt;Thursday",C8:C49,"&lt;&gt;",L8:L49,"&lt;&gt;Absent")</f>
        <v>0</v>
      </c>
      <c r="E56" s="54">
        <f>SUMIFS(E8:E49,C8:C49,"&lt;&gt;Thursday",C8:C49,"&lt;&gt;",L8:L49,"&lt;&gt;Absent")</f>
        <v>0</v>
      </c>
      <c r="F56" s="55"/>
      <c r="G56" s="54">
        <f>SUMIFS(G8:G49,C8:C49,"&lt;&gt;Thursday",C8:C49,"&lt;&gt;",L8:L49,"&lt;&gt;Absent")</f>
        <v>432</v>
      </c>
      <c r="H56" s="55"/>
      <c r="I56" s="54">
        <f>SUMIFS(I8:I49,C8:C49,"&lt;&gt;Thursday",C8:C49,"&lt;&gt;",L8:L49,"&lt;&gt;Absent")</f>
        <v>0</v>
      </c>
      <c r="J56" s="56">
        <f>SUMIFS(J8:J49,C8:C49,"&lt;&gt;Thursday",C8:C49,"&lt;&gt;",L8:L49,"&lt;&gt;Absent")</f>
        <v>432</v>
      </c>
      <c r="K56" s="57">
        <f>SUMIFS(K8:K49,C8:C49,"&lt;&gt;Thursday",C8:C49,"&lt;&gt;",L8:L49,"&lt;&gt;Absent")</f>
        <v>25056</v>
      </c>
      <c r="L56" s="58" t="str">
        <f>COUNTIF(L8:L49,"Absent")&amp;" absences  |  "&amp;COUNTIF(L8:L49,"✓")&amp;" goals hit"</f>
        <v>0 absences  |  0 goals hit</v>
      </c>
      <c r="M56" s="55"/>
    </row>
  </sheetData>
  <mergeCells count="21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50:C50"/>
    <mergeCell ref="A56:C56"/>
    <mergeCell ref="A51:C51"/>
    <mergeCell ref="A52:C52"/>
    <mergeCell ref="A53:C53"/>
    <mergeCell ref="A54:C54"/>
    <mergeCell ref="A55:C55"/>
  </mergeCells>
  <conditionalFormatting sqref="A8:M49">
    <cfRule type="expression" dxfId="29" priority="2">
      <formula>$B8=TODAY()</formula>
    </cfRule>
    <cfRule type="expression" dxfId="28" priority="3">
      <formula>$L8="Absent"</formula>
    </cfRule>
  </conditionalFormatting>
  <conditionalFormatting sqref="D8:M49">
    <cfRule type="expression" dxfId="27" priority="10">
      <formula>AND($E8&gt;=1000,$C8&lt;&gt;"",$C8&lt;&gt;"Thursday",$L8&lt;&gt;"Absent")</formula>
    </cfRule>
    <cfRule type="expression" dxfId="26" priority="11">
      <formula>AND($E8&gt;=500,$E8&lt;1000,$C8&lt;&gt;"",$C8&lt;&gt;"Thursday",$L8&lt;&gt;"Absent")</formula>
    </cfRule>
  </conditionalFormatting>
  <conditionalFormatting sqref="L8:L49">
    <cfRule type="expression" dxfId="25" priority="44">
      <formula>AND($J8&gt;=$J$3,$C8&lt;&gt;"Thursday",$C8&lt;&gt;"",$L8&lt;&gt;"Absent")</formula>
    </cfRule>
    <cfRule type="expression" dxfId="24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9" xr:uid="{00000000-0002-0000-1400-000000000000}">
      <formula1>"Absent"</formula1>
      <formula2>0</formula2>
    </dataValidation>
    <dataValidation type="list" sqref="C3" xr:uid="{00000000-0002-0000-1400-000001000000}">
      <formula1>"January,February,March,April,May,June,July,August,September,October,November,December"</formula1>
      <formula2>0</formula2>
    </dataValidation>
    <dataValidation type="list" sqref="D3" xr:uid="{00000000-0002-0000-1400-000002000000}">
      <formula1>"2025,2026,2027,2028,2029,2030"</formula1>
      <formula2>0</formula2>
    </dataValidation>
    <dataValidation type="list" sqref="C4" xr:uid="{00000000-0002-0000-14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56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400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400</v>
      </c>
      <c r="K5" s="24">
        <f>SUMIFS(K8:K42,K8:K42,"&lt;&gt;0",C8:C42,"&lt;&gt;Thursday",C8:C42,"&lt;&gt;",L8:L42,"&lt;&gt;Absent")</f>
        <v>23200</v>
      </c>
      <c r="L5" s="69" t="str">
        <f>COUNTIF(L8:L42,"✓")&amp;" / "&amp;COUNTIFS(C8:C42,"&lt;&gt;Thursday",C8:C42,"&lt;&gt;",L8:L42,"&lt;&gt;Absent")&amp;" days goal hit"</f>
        <v>0 / 30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480</v>
      </c>
      <c r="J6" s="63">
        <f>IFERROR(I6*L3,0)</f>
        <v>27840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1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46631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46632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3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46633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4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46634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5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46635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6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46636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7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46637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8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46638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46639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10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46640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11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46641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12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46642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13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46643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14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46644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15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46645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46646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17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46647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18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46648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19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46649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20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46650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21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46651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22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46652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46653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24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46654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25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46655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26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46656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27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46657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28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46658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29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46659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46660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hidden="1" customHeight="1" x14ac:dyDescent="0.25">
      <c r="A4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/>
      </c>
      <c r="B4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/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/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0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0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/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0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0</v>
      </c>
      <c r="L40" s="34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Sep 5)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64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64</v>
      </c>
      <c r="K43" s="50">
        <f>SUMIFS(K8:K14,C8:C14,"&lt;&gt;Thursday",C8:C14,"&lt;&gt;",L8:L14,"&lt;&gt;Absent")</f>
        <v>3712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Sep 6 – Sun Sep 12)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Sep 13 – Sun Sep 19)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Sep 20 – Sun Sep 26)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Sep 27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48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48</v>
      </c>
      <c r="K47" s="50">
        <f>SUMIFS(K36:K42,C36:C42,"&lt;&gt;Thursday",C36:C42,"&lt;&gt;",L36:L42,"&lt;&gt;Absent")</f>
        <v>2784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September 2027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400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400</v>
      </c>
      <c r="K48" s="57">
        <f>SUMIFS(K8:K42,C8:C42,"&lt;&gt;Thursday",C8:C42,"&lt;&gt;",L8:L42,"&lt;&gt;Absent")</f>
        <v>23200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23" priority="2">
      <formula>$B8=TODAY()</formula>
    </cfRule>
    <cfRule type="expression" dxfId="22" priority="3">
      <formula>$L8="Absent"</formula>
    </cfRule>
  </conditionalFormatting>
  <conditionalFormatting sqref="D8:M42">
    <cfRule type="expression" dxfId="21" priority="10">
      <formula>AND($E8&gt;=1000,$C8&lt;&gt;"",$C8&lt;&gt;"Thursday",$L8&lt;&gt;"Absent")</formula>
    </cfRule>
    <cfRule type="expression" dxfId="20" priority="11">
      <formula>AND($E8&gt;=500,$E8&lt;1000,$C8&lt;&gt;"",$C8&lt;&gt;"Thursday",$L8&lt;&gt;"Absent")</formula>
    </cfRule>
  </conditionalFormatting>
  <conditionalFormatting sqref="L8:L42">
    <cfRule type="expression" dxfId="19" priority="44">
      <formula>AND($J8&gt;=$J$3,$C8&lt;&gt;"Thursday",$C8&lt;&gt;"",$L8&lt;&gt;"Absent")</formula>
    </cfRule>
    <cfRule type="expression" dxfId="18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1500-000000000000}">
      <formula1>"Absent"</formula1>
      <formula2>0</formula2>
    </dataValidation>
    <dataValidation type="list" sqref="C3" xr:uid="{00000000-0002-0000-1500-000001000000}">
      <formula1>"January,February,March,April,May,June,July,August,September,October,November,December"</formula1>
      <formula2>0</formula2>
    </dataValidation>
    <dataValidation type="list" sqref="D3" xr:uid="{00000000-0002-0000-1500-000002000000}">
      <formula1>"2025,2026,2027,2028,2029,2030"</formula1>
      <formula2>0</formula2>
    </dataValidation>
    <dataValidation type="list" sqref="C4" xr:uid="{00000000-0002-0000-15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57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432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432</v>
      </c>
      <c r="K5" s="24">
        <f>SUMIFS(K8:K42,K8:K42,"&lt;&gt;0",C8:C42,"&lt;&gt;Thursday",C8:C42,"&lt;&gt;",L8:L42,"&lt;&gt;Absent")</f>
        <v>25056</v>
      </c>
      <c r="L5" s="69" t="str">
        <f>COUNTIF(L8:L42,"✓")&amp;" / "&amp;COUNTIFS(C8:C42,"&lt;&gt;Thursday",C8:C42,"&lt;&gt;",L8:L42,"&lt;&gt;Absent")&amp;" days goal hit"</f>
        <v>0 / 31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496</v>
      </c>
      <c r="J6" s="63">
        <f>IFERROR(I6*L3,0)</f>
        <v>28768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hidden="1" customHeight="1" x14ac:dyDescent="0.25">
      <c r="A1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/>
      </c>
      <c r="B1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/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/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0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0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/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0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0</v>
      </c>
      <c r="L10" s="34"/>
      <c r="M10" s="35"/>
    </row>
    <row r="11" spans="1:13" ht="21.75" hidden="1" customHeight="1" x14ac:dyDescent="0.25">
      <c r="A1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/>
      </c>
      <c r="B1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/>
      </c>
      <c r="C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/>
      </c>
      <c r="D11" s="32">
        <v>0</v>
      </c>
      <c r="E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/>
      </c>
      <c r="I1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34"/>
      <c r="M11" s="35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1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46661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2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46662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3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46663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4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46664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5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46665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6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46666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46667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8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46668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9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46669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10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46670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11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46671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12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46672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13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46673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46674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15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46675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16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46676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17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46677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18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46678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19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46679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20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46680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46681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22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46682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23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46683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24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46684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25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46685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26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46686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27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46687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46688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29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46689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customHeight="1" x14ac:dyDescent="0.25">
      <c r="A4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>30</v>
      </c>
      <c r="B4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>46690</v>
      </c>
      <c r="C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>Saturday</v>
      </c>
      <c r="D41" s="47">
        <v>0</v>
      </c>
      <c r="E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8</v>
      </c>
      <c r="G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16</v>
      </c>
      <c r="H4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>0%</v>
      </c>
      <c r="I4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16</v>
      </c>
      <c r="K4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928</v>
      </c>
      <c r="L41" s="49"/>
      <c r="M41" s="49"/>
    </row>
    <row r="42" spans="1:13" ht="21.75" customHeight="1" x14ac:dyDescent="0.25">
      <c r="A4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>31</v>
      </c>
      <c r="B4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>46691</v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>Sunday</v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8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16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>0%</v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16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928</v>
      </c>
      <c r="L42" s="35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Oct 3)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48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48</v>
      </c>
      <c r="K43" s="50">
        <f>SUMIFS(K8:K14,C8:C14,"&lt;&gt;Thursday",C8:C14,"&lt;&gt;",L8:L14,"&lt;&gt;Absent")</f>
        <v>2784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Oct 4 – Sun Oct 10)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Oct 11 – Sun Oct 17)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Oct 18 – Sun Oct 24)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Oct 25 – Sun Oct 31)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96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96</v>
      </c>
      <c r="K47" s="50">
        <f>SUMIFS(K36:K42,C36:C42,"&lt;&gt;Thursday",C36:C42,"&lt;&gt;",L36:L42,"&lt;&gt;Absent")</f>
        <v>5568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October 2027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432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432</v>
      </c>
      <c r="K48" s="57">
        <f>SUMIFS(K8:K42,C8:C42,"&lt;&gt;Thursday",C8:C42,"&lt;&gt;",L8:L42,"&lt;&gt;Absent")</f>
        <v>25056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17" priority="2">
      <formula>$B8=TODAY()</formula>
    </cfRule>
    <cfRule type="expression" dxfId="16" priority="3">
      <formula>$L8="Absent"</formula>
    </cfRule>
  </conditionalFormatting>
  <conditionalFormatting sqref="D8:M42">
    <cfRule type="expression" dxfId="15" priority="10">
      <formula>AND($E8&gt;=1000,$C8&lt;&gt;"",$C8&lt;&gt;"Thursday",$L8&lt;&gt;"Absent")</formula>
    </cfRule>
    <cfRule type="expression" dxfId="14" priority="11">
      <formula>AND($E8&gt;=500,$E8&lt;1000,$C8&lt;&gt;"",$C8&lt;&gt;"Thursday",$L8&lt;&gt;"Absent")</formula>
    </cfRule>
  </conditionalFormatting>
  <conditionalFormatting sqref="L8:L42">
    <cfRule type="expression" dxfId="13" priority="44">
      <formula>AND($J8&gt;=$J$3,$C8&lt;&gt;"Thursday",$C8&lt;&gt;"",$L8&lt;&gt;"Absent")</formula>
    </cfRule>
    <cfRule type="expression" dxfId="12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1600-000000000000}">
      <formula1>"Absent"</formula1>
      <formula2>0</formula2>
    </dataValidation>
    <dataValidation type="list" sqref="C3" xr:uid="{00000000-0002-0000-1600-000001000000}">
      <formula1>"January,February,March,April,May,June,July,August,September,October,November,December"</formula1>
      <formula2>0</formula2>
    </dataValidation>
    <dataValidation type="list" sqref="D3" xr:uid="{00000000-0002-0000-1600-000002000000}">
      <formula1>"2025,2026,2027,2028,2029,2030"</formula1>
      <formula2>0</formula2>
    </dataValidation>
    <dataValidation type="list" sqref="C4" xr:uid="{00000000-0002-0000-16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58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416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416</v>
      </c>
      <c r="K5" s="24">
        <f>SUMIFS(K8:K42,K8:K42,"&lt;&gt;0",C8:C42,"&lt;&gt;Thursday",C8:C42,"&lt;&gt;",L8:L42,"&lt;&gt;Absent")</f>
        <v>24128</v>
      </c>
      <c r="L5" s="69" t="str">
        <f>COUNTIF(L8:L42,"✓")&amp;" / "&amp;COUNTIFS(C8:C42,"&lt;&gt;Thursday",C8:C42,"&lt;&gt;",L8:L42,"&lt;&gt;Absent")&amp;" days goal hit"</f>
        <v>0 / 31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496</v>
      </c>
      <c r="J6" s="63">
        <f>IFERROR(I6*L3,0)</f>
        <v>28768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customHeight="1" x14ac:dyDescent="0.25">
      <c r="A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>1</v>
      </c>
      <c r="B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>46692</v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>Monday</v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8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16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>0%</v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16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928</v>
      </c>
      <c r="L8" s="35"/>
      <c r="M8" s="35"/>
    </row>
    <row r="9" spans="1:13" ht="21.75" customHeight="1" x14ac:dyDescent="0.25">
      <c r="A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>2</v>
      </c>
      <c r="B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>46693</v>
      </c>
      <c r="C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>Tuesday</v>
      </c>
      <c r="D9" s="47">
        <v>0</v>
      </c>
      <c r="E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8</v>
      </c>
      <c r="G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16</v>
      </c>
      <c r="H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>0%</v>
      </c>
      <c r="I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16</v>
      </c>
      <c r="K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928</v>
      </c>
      <c r="L9" s="49"/>
      <c r="M9" s="49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3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46694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46695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5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46696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6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46697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7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46698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8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46699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9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46700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10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46701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46702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12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46703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13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46704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14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46705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15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46706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16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46707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17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46708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46709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19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46710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20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46711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21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46712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22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46713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23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46714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24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46715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46716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26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46717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27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46718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28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46719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29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46720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30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46721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hidden="1" customHeight="1" x14ac:dyDescent="0.25">
      <c r="A3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/>
      </c>
      <c r="B3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/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/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0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0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/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0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0</v>
      </c>
      <c r="L38" s="34"/>
      <c r="M38" s="35"/>
    </row>
    <row r="39" spans="1:13" ht="21.75" hidden="1" customHeight="1" x14ac:dyDescent="0.25">
      <c r="A3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/>
      </c>
      <c r="B3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/>
      </c>
      <c r="C3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/>
      </c>
      <c r="D39" s="32">
        <v>0</v>
      </c>
      <c r="E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/>
      </c>
      <c r="I3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34"/>
      <c r="M39" s="35"/>
    </row>
    <row r="40" spans="1:13" ht="21.75" hidden="1" customHeight="1" x14ac:dyDescent="0.25">
      <c r="A40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/>
      </c>
      <c r="B40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/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/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0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0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/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0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0</v>
      </c>
      <c r="L40" s="34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Nov 1 – Sun Nov 7)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96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96</v>
      </c>
      <c r="K43" s="50">
        <f>SUMIFS(K8:K14,C8:C14,"&lt;&gt;Thursday",C8:C14,"&lt;&gt;",L8:L14,"&lt;&gt;Absent")</f>
        <v>5568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Nov 8 – Sun Nov 14)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Nov 15 – Sun Nov 21)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Nov 22 – Sun Nov 28)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Nov 29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32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32</v>
      </c>
      <c r="K47" s="50">
        <f>SUMIFS(K36:K42,C36:C42,"&lt;&gt;Thursday",C36:C42,"&lt;&gt;",L36:L42,"&lt;&gt;Absent")</f>
        <v>1856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November 2027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416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416</v>
      </c>
      <c r="K48" s="57">
        <f>SUMIFS(K8:K42,C8:C42,"&lt;&gt;Thursday",C8:C42,"&lt;&gt;",L8:L42,"&lt;&gt;Absent")</f>
        <v>24128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11" priority="2">
      <formula>$B8=TODAY()</formula>
    </cfRule>
    <cfRule type="expression" dxfId="10" priority="3">
      <formula>$L8="Absent"</formula>
    </cfRule>
  </conditionalFormatting>
  <conditionalFormatting sqref="D8:M42">
    <cfRule type="expression" dxfId="9" priority="10">
      <formula>AND($E8&gt;=1000,$C8&lt;&gt;"",$C8&lt;&gt;"Thursday",$L8&lt;&gt;"Absent")</formula>
    </cfRule>
    <cfRule type="expression" dxfId="8" priority="11">
      <formula>AND($E8&gt;=500,$E8&lt;1000,$C8&lt;&gt;"",$C8&lt;&gt;"Thursday",$L8&lt;&gt;"Absent")</formula>
    </cfRule>
  </conditionalFormatting>
  <conditionalFormatting sqref="L8:L42">
    <cfRule type="expression" dxfId="7" priority="44">
      <formula>AND($J8&gt;=$J$3,$C8&lt;&gt;"Thursday",$C8&lt;&gt;"",$L8&lt;&gt;"Absent")</formula>
    </cfRule>
    <cfRule type="expression" dxfId="6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1700-000000000000}">
      <formula1>"Absent"</formula1>
      <formula2>0</formula2>
    </dataValidation>
    <dataValidation type="list" sqref="C3" xr:uid="{00000000-0002-0000-1700-000001000000}">
      <formula1>"January,February,March,April,May,June,July,August,September,October,November,December"</formula1>
      <formula2>0</formula2>
    </dataValidation>
    <dataValidation type="list" sqref="D3" xr:uid="{00000000-0002-0000-1700-000002000000}">
      <formula1>"2025,2026,2027,2028,2029,2030"</formula1>
      <formula2>0</formula2>
    </dataValidation>
    <dataValidation type="list" sqref="C4" xr:uid="{00000000-0002-0000-17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4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2" customWidth="1"/>
    <col min="4" max="5" width="14" customWidth="1"/>
    <col min="6" max="7" width="12" customWidth="1"/>
    <col min="8" max="9" width="15" customWidth="1"/>
    <col min="10" max="10" width="16" customWidth="1"/>
    <col min="11" max="12" width="14" customWidth="1"/>
    <col min="13" max="13" width="13" customWidth="1"/>
  </cols>
  <sheetData>
    <row r="1" spans="1:13" ht="36" customHeight="1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8" customHeight="1" x14ac:dyDescent="0.25">
      <c r="A2" s="71" t="str">
        <f>C4&amp;"  •  Week: Mon–Sun  •  Thursday = Rest Day  •  $2/hr × 8hrs = $16/day  •  Blue = your input"</f>
        <v>4:00 PM – 12:00 MN  •  Week: Mon–Sun  •  Thursday = Rest Day  •  $2/hr × 8hrs = $16/day  •  Blue = your input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5.5" customHeight="1" x14ac:dyDescent="0.25">
      <c r="A3" s="65" t="s">
        <v>22</v>
      </c>
      <c r="B3" s="65"/>
      <c r="C3" s="22" t="s">
        <v>59</v>
      </c>
      <c r="D3" s="22" t="s">
        <v>60</v>
      </c>
      <c r="E3" s="67" t="s">
        <v>25</v>
      </c>
      <c r="F3" s="67"/>
      <c r="G3" s="67"/>
      <c r="H3" s="72" t="s">
        <v>26</v>
      </c>
      <c r="I3" s="72"/>
      <c r="J3" s="23">
        <v>50</v>
      </c>
      <c r="K3" s="2" t="s">
        <v>27</v>
      </c>
      <c r="L3" s="22">
        <v>58</v>
      </c>
      <c r="M3" s="3" t="s">
        <v>28</v>
      </c>
    </row>
    <row r="4" spans="1:13" ht="24" customHeight="1" x14ac:dyDescent="0.25">
      <c r="A4" s="65" t="s">
        <v>29</v>
      </c>
      <c r="B4" s="65"/>
      <c r="C4" s="66" t="s">
        <v>30</v>
      </c>
      <c r="D4" s="66"/>
      <c r="E4" s="66"/>
      <c r="F4" s="67" t="s">
        <v>31</v>
      </c>
      <c r="G4" s="67"/>
      <c r="H4" s="67"/>
      <c r="I4" s="67"/>
      <c r="J4" s="67"/>
      <c r="K4" s="67"/>
      <c r="L4" s="67"/>
      <c r="M4" s="67"/>
    </row>
    <row r="5" spans="1:13" ht="21.75" customHeight="1" x14ac:dyDescent="0.25">
      <c r="A5" s="68" t="s">
        <v>32</v>
      </c>
      <c r="B5" s="68"/>
      <c r="C5" s="68"/>
      <c r="D5" s="24">
        <f>SUMIFS(D8:D42,D8:D42,"&lt;&gt;0",C8:C42,"&lt;&gt;Thursday",C8:C42,"&lt;&gt;",L8:L42,"&lt;&gt;Absent")</f>
        <v>0</v>
      </c>
      <c r="E5" s="24">
        <f>SUMIFS(E8:E42,E8:E42,"&lt;&gt;0",C8:C42,"&lt;&gt;Thursday",C8:C42,"&lt;&gt;",L8:L42,"&lt;&gt;Absent")</f>
        <v>0</v>
      </c>
      <c r="F5" s="25"/>
      <c r="G5" s="24">
        <f>SUMIFS(G8:G42,G8:G42,"&lt;&gt;0",C8:C42,"&lt;&gt;Thursday",C8:C42,"&lt;&gt;",L8:L42,"&lt;&gt;Absent")</f>
        <v>416</v>
      </c>
      <c r="H5" s="25"/>
      <c r="I5" s="24">
        <f>SUMIFS(I8:I42,I8:I42,"&lt;&gt;0",C8:C42,"&lt;&gt;Thursday",C8:C42,"&lt;&gt;",L8:L42,"&lt;&gt;Absent")</f>
        <v>0</v>
      </c>
      <c r="J5" s="24">
        <f>SUMIFS(J8:J42,J8:J42,"&lt;&gt;0",C8:C42,"&lt;&gt;Thursday",C8:C42,"&lt;&gt;",L8:L42,"&lt;&gt;Absent")</f>
        <v>416</v>
      </c>
      <c r="K5" s="24">
        <f>SUMIFS(K8:K42,K8:K42,"&lt;&gt;0",C8:C42,"&lt;&gt;Thursday",C8:C42,"&lt;&gt;",L8:L42,"&lt;&gt;Absent")</f>
        <v>24128</v>
      </c>
      <c r="L5" s="69" t="str">
        <f>COUNTIF(L8:L42,"✓")&amp;" / "&amp;COUNTIFS(C8:C42,"&lt;&gt;Thursday",C8:C42,"&lt;&gt;",L8:L42,"&lt;&gt;Absent")&amp;" days goal hit"</f>
        <v>0 / 30 days goal hit</v>
      </c>
      <c r="M5" s="69"/>
    </row>
    <row r="6" spans="1:13" ht="21.75" customHeight="1" x14ac:dyDescent="0.25">
      <c r="A6" s="61" t="s">
        <v>33</v>
      </c>
      <c r="B6" s="61"/>
      <c r="C6" s="61"/>
      <c r="D6" s="26" t="str">
        <f>IF(MAX(D8:D42)=0,"—",MAX(D8:D42))</f>
        <v>—</v>
      </c>
      <c r="E6" s="26" t="str">
        <f>IF(MAX(E8:E42)=0,"—",MAX(E8:E42))</f>
        <v>—</v>
      </c>
      <c r="F6" s="62" t="s">
        <v>34</v>
      </c>
      <c r="G6" s="62"/>
      <c r="H6" s="27">
        <f>IFERROR(J5/MAX(1,COUNTIFS(C8:C42,"&lt;&gt;Thursday",J8:J42,"&lt;&gt;0",L8:L42,"&lt;&gt;Absent")),0)</f>
        <v>16</v>
      </c>
      <c r="I6" s="28">
        <f>IFERROR(J5/MAX(1,COUNTIFS(C8:C42,"&lt;&gt;Thursday",J8:J42,"&lt;&gt;0",L8:L42,"&lt;&gt;Absent"))*COUNTIFS(C8:C42,"&lt;&gt;Thursday",B8:B42,"&lt;&gt;",L8:L42,"&lt;&gt;Absent"),0)</f>
        <v>480</v>
      </c>
      <c r="J6" s="63">
        <f>IFERROR(I6*L3,0)</f>
        <v>27840</v>
      </c>
      <c r="K6" s="63"/>
      <c r="L6" s="64" t="s">
        <v>35</v>
      </c>
      <c r="M6" s="64"/>
    </row>
    <row r="7" spans="1:13" ht="33.75" customHeight="1" x14ac:dyDescent="0.25">
      <c r="A7" s="29" t="s">
        <v>8</v>
      </c>
      <c r="B7" s="29" t="s">
        <v>36</v>
      </c>
      <c r="C7" s="29" t="s">
        <v>37</v>
      </c>
      <c r="D7" s="29" t="s">
        <v>38</v>
      </c>
      <c r="E7" s="29" t="s">
        <v>39</v>
      </c>
      <c r="F7" s="29" t="s">
        <v>40</v>
      </c>
      <c r="G7" s="29" t="s">
        <v>41</v>
      </c>
      <c r="H7" s="29" t="s">
        <v>42</v>
      </c>
      <c r="I7" s="29" t="s">
        <v>43</v>
      </c>
      <c r="J7" s="29" t="s">
        <v>44</v>
      </c>
      <c r="K7" s="29" t="s">
        <v>45</v>
      </c>
      <c r="L7" s="29" t="s">
        <v>46</v>
      </c>
      <c r="M7" s="29" t="s">
        <v>47</v>
      </c>
    </row>
    <row r="8" spans="1:13" ht="21.75" hidden="1" customHeight="1" x14ac:dyDescent="0.25">
      <c r="A8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))</f>
        <v/>
      </c>
      <c r="B8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</f>
        <v/>
      </c>
      <c r="C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TEXT(B8,"DDDD"))</f>
        <v/>
      </c>
      <c r="D8" s="32">
        <v>0</v>
      </c>
      <c r="E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D8=0,0,D8*0.8),0)</f>
        <v>0</v>
      </c>
      <c r="F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8,0)</f>
        <v>0</v>
      </c>
      <c r="G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F8*2,0)</f>
        <v>0</v>
      </c>
      <c r="H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,"—",IF(L8="Absent","Absent",IF(E8=0,"0%",IF(E8&lt;500,"3%",IF(E8&lt;1000,"4%","5%"))))))</f>
        <v/>
      </c>
      <c r="I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IF(E8=0,0,IF(E8&lt;500,E8*0.03,IF(E8&lt;1000,E8*0.04,E8*0.05))),0)</f>
        <v>0</v>
      </c>
      <c r="J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G8+I8,0)</f>
        <v>0</v>
      </c>
      <c r="K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+0,"DDDD")="Thursday"),NOT(L8="Absent")),J8*$L$3,0)</f>
        <v>0</v>
      </c>
      <c r="L8" s="34"/>
      <c r="M8" s="35"/>
    </row>
    <row r="9" spans="1:13" ht="21.75" hidden="1" customHeight="1" x14ac:dyDescent="0.25">
      <c r="A9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))</f>
        <v/>
      </c>
      <c r="B9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</f>
        <v/>
      </c>
      <c r="C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TEXT(B9,"DDDD"))</f>
        <v/>
      </c>
      <c r="D9" s="32">
        <v>0</v>
      </c>
      <c r="E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D9=0,0,D9*0.8),0)</f>
        <v>0</v>
      </c>
      <c r="F9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8,0)</f>
        <v>0</v>
      </c>
      <c r="G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F9*2,0)</f>
        <v>0</v>
      </c>
      <c r="H9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,"—",IF(L9="Absent","Absent",IF(E9=0,"0%",IF(E9&lt;500,"3%",IF(E9&lt;1000,"4%","5%"))))))</f>
        <v/>
      </c>
      <c r="I9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IF(E9=0,0,IF(E9&lt;500,E9*0.03,IF(E9&lt;1000,E9*0.04,E9*0.05))),0)</f>
        <v>0</v>
      </c>
      <c r="J9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G9+I9,0)</f>
        <v>0</v>
      </c>
      <c r="K9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,"DDDD")="Thursday"),NOT(L9="Absent")),J9*$L$3,0)</f>
        <v>0</v>
      </c>
      <c r="L9" s="34"/>
      <c r="M9" s="35"/>
    </row>
    <row r="10" spans="1:13" ht="21.75" customHeight="1" x14ac:dyDescent="0.25">
      <c r="A1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))</f>
        <v>1</v>
      </c>
      <c r="B1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</f>
        <v>46722</v>
      </c>
      <c r="C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TEXT(B10,"DDDD"))</f>
        <v>Wednesday</v>
      </c>
      <c r="D10" s="32">
        <v>0</v>
      </c>
      <c r="E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D10=0,0,D10*0.8),0)</f>
        <v>0</v>
      </c>
      <c r="F1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8,0)</f>
        <v>8</v>
      </c>
      <c r="G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F10*2,0)</f>
        <v>16</v>
      </c>
      <c r="H1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,"—",IF(L10="Absent","Absent",IF(E10=0,"0%",IF(E10&lt;500,"3%",IF(E10&lt;1000,"4%","5%"))))))</f>
        <v>0%</v>
      </c>
      <c r="I1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IF(E10=0,0,IF(E10&lt;500,E10*0.03,IF(E10&lt;1000,E10*0.04,E10*0.05))),0)</f>
        <v>0</v>
      </c>
      <c r="J1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G10+I10,0)</f>
        <v>16</v>
      </c>
      <c r="K1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,"DDDD")="Thursday"),NOT(L10="Absent")),J10*$L$3,0)</f>
        <v>928</v>
      </c>
      <c r="L10" s="35"/>
      <c r="M10" s="35"/>
    </row>
    <row r="11" spans="1:13" ht="21.75" customHeight="1" x14ac:dyDescent="0.25">
      <c r="A11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))</f>
        <v>—</v>
      </c>
      <c r="B11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</f>
        <v>46723</v>
      </c>
      <c r="C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TEXT(B11,"DDDD"))</f>
        <v>Thursday</v>
      </c>
      <c r="D11" s="39">
        <v>0</v>
      </c>
      <c r="E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D11=0,0,D11*0.8),0)</f>
        <v>0</v>
      </c>
      <c r="F11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8,0)</f>
        <v>0</v>
      </c>
      <c r="G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F11*2,0)</f>
        <v>0</v>
      </c>
      <c r="H11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,"—",IF(L11="Absent","Absent",IF(E11=0,"0%",IF(E11&lt;500,"3%",IF(E11&lt;1000,"4%","5%"))))))</f>
        <v>—</v>
      </c>
      <c r="I11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IF(E11=0,0,IF(E11&lt;500,E11*0.03,IF(E11&lt;1000,E11*0.04,E11*0.05))),0)</f>
        <v>0</v>
      </c>
      <c r="J11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G11+I11,0)</f>
        <v>0</v>
      </c>
      <c r="K11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,"DDDD")="Thursday"),NOT(L11="Absent")),J11*$L$3,0)</f>
        <v>0</v>
      </c>
      <c r="L11" s="43" t="s">
        <v>48</v>
      </c>
      <c r="M11" s="44"/>
    </row>
    <row r="12" spans="1:13" ht="21.75" customHeight="1" x14ac:dyDescent="0.25">
      <c r="A1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))</f>
        <v>3</v>
      </c>
      <c r="B1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</f>
        <v>46724</v>
      </c>
      <c r="C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TEXT(B12,"DDDD"))</f>
        <v>Friday</v>
      </c>
      <c r="D12" s="32">
        <v>0</v>
      </c>
      <c r="E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D12=0,0,D12*0.8),0)</f>
        <v>0</v>
      </c>
      <c r="F1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8,0)</f>
        <v>8</v>
      </c>
      <c r="G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F12*2,0)</f>
        <v>16</v>
      </c>
      <c r="H1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,"—",IF(L12="Absent","Absent",IF(E12=0,"0%",IF(E12&lt;500,"3%",IF(E12&lt;1000,"4%","5%"))))))</f>
        <v>0%</v>
      </c>
      <c r="I1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IF(E12=0,0,IF(E12&lt;500,E12*0.03,IF(E12&lt;1000,E12*0.04,E12*0.05))),0)</f>
        <v>0</v>
      </c>
      <c r="J1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G12+I12,0)</f>
        <v>16</v>
      </c>
      <c r="K1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+4,"DDDD")="Thursday"),NOT(L12="Absent")),J12*$L$3,0)</f>
        <v>928</v>
      </c>
      <c r="L12" s="35"/>
      <c r="M12" s="35"/>
    </row>
    <row r="13" spans="1:13" ht="21.75" customHeight="1" x14ac:dyDescent="0.25">
      <c r="A1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))</f>
        <v>4</v>
      </c>
      <c r="B1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</f>
        <v>46725</v>
      </c>
      <c r="C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TEXT(B13,"DDDD"))</f>
        <v>Saturday</v>
      </c>
      <c r="D13" s="47">
        <v>0</v>
      </c>
      <c r="E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D13=0,0,D13*0.8),0)</f>
        <v>0</v>
      </c>
      <c r="F1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8,0)</f>
        <v>8</v>
      </c>
      <c r="G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F13*2,0)</f>
        <v>16</v>
      </c>
      <c r="H1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,"—",IF(L13="Absent","Absent",IF(E13=0,"0%",IF(E13&lt;500,"3%",IF(E13&lt;1000,"4%","5%"))))))</f>
        <v>0%</v>
      </c>
      <c r="I1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IF(E13=0,0,IF(E13&lt;500,E13*0.03,IF(E13&lt;1000,E13*0.04,E13*0.05))),0)</f>
        <v>0</v>
      </c>
      <c r="J1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G13+I13,0)</f>
        <v>16</v>
      </c>
      <c r="K1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+5,"DDDD")="Thursday"),NOT(L13="Absent")),J13*$L$3,0)</f>
        <v>928</v>
      </c>
      <c r="L13" s="49"/>
      <c r="M13" s="49"/>
    </row>
    <row r="14" spans="1:13" ht="21.75" customHeight="1" x14ac:dyDescent="0.25">
      <c r="A1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))</f>
        <v>5</v>
      </c>
      <c r="B1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</f>
        <v>46726</v>
      </c>
      <c r="C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TEXT(B14,"DDDD"))</f>
        <v>Sunday</v>
      </c>
      <c r="D14" s="32">
        <v>0</v>
      </c>
      <c r="E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D14=0,0,D14*0.8),0)</f>
        <v>0</v>
      </c>
      <c r="F1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8,0)</f>
        <v>8</v>
      </c>
      <c r="G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F14*2,0)</f>
        <v>16</v>
      </c>
      <c r="H1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,"—",IF(L14="Absent","Absent",IF(E14=0,"0%",IF(E14&lt;500,"3%",IF(E14&lt;1000,"4%","5%"))))))</f>
        <v>0%</v>
      </c>
      <c r="I1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IF(E14=0,0,IF(E14&lt;500,E14*0.03,IF(E14&lt;1000,E14*0.04,E14*0.05))),0)</f>
        <v>0</v>
      </c>
      <c r="J1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G14+I14,0)</f>
        <v>16</v>
      </c>
      <c r="K1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+6,"DDDD")="Thursday"),NOT(L14="Absent")),J14*$L$3,0)</f>
        <v>928</v>
      </c>
      <c r="L14" s="35"/>
      <c r="M14" s="35"/>
    </row>
    <row r="15" spans="1:13" ht="21.75" customHeight="1" x14ac:dyDescent="0.25">
      <c r="A1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))</f>
        <v>6</v>
      </c>
      <c r="B1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</f>
        <v>46727</v>
      </c>
      <c r="C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TEXT(B15,"DDDD"))</f>
        <v>Monday</v>
      </c>
      <c r="D15" s="47">
        <v>0</v>
      </c>
      <c r="E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D15=0,0,D15*0.8),0)</f>
        <v>0</v>
      </c>
      <c r="F1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8,0)</f>
        <v>8</v>
      </c>
      <c r="G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F15*2,0)</f>
        <v>16</v>
      </c>
      <c r="H1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,"—",IF(L15="Absent","Absent",IF(E15=0,"0%",IF(E15&lt;500,"3%",IF(E15&lt;1000,"4%","5%"))))))</f>
        <v>0%</v>
      </c>
      <c r="I1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IF(E15=0,0,IF(E15&lt;500,E15*0.03,IF(E15&lt;1000,E15*0.04,E15*0.05))),0)</f>
        <v>0</v>
      </c>
      <c r="J1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G15+I15,0)</f>
        <v>16</v>
      </c>
      <c r="K1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+7,"DDDD")="Thursday"),NOT(L15="Absent")),J15*$L$3,0)</f>
        <v>928</v>
      </c>
      <c r="L15" s="49"/>
      <c r="M15" s="49"/>
    </row>
    <row r="16" spans="1:13" ht="21.75" customHeight="1" x14ac:dyDescent="0.25">
      <c r="A1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))</f>
        <v>7</v>
      </c>
      <c r="B1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</f>
        <v>46728</v>
      </c>
      <c r="C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TEXT(B16,"DDDD"))</f>
        <v>Tuesday</v>
      </c>
      <c r="D16" s="32">
        <v>0</v>
      </c>
      <c r="E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D16=0,0,D16*0.8),0)</f>
        <v>0</v>
      </c>
      <c r="F1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8,0)</f>
        <v>8</v>
      </c>
      <c r="G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F16*2,0)</f>
        <v>16</v>
      </c>
      <c r="H1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,"—",IF(L16="Absent","Absent",IF(E16=0,"0%",IF(E16&lt;500,"3%",IF(E16&lt;1000,"4%","5%"))))))</f>
        <v>0%</v>
      </c>
      <c r="I1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IF(E16=0,0,IF(E16&lt;500,E16*0.03,IF(E16&lt;1000,E16*0.04,E16*0.05))),0)</f>
        <v>0</v>
      </c>
      <c r="J1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G16+I16,0)</f>
        <v>16</v>
      </c>
      <c r="K1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+8,"DDDD")="Thursday"),NOT(L16="Absent")),J16*$L$3,0)</f>
        <v>928</v>
      </c>
      <c r="L16" s="35"/>
      <c r="M16" s="35"/>
    </row>
    <row r="17" spans="1:13" ht="21.75" customHeight="1" x14ac:dyDescent="0.25">
      <c r="A1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))</f>
        <v>8</v>
      </c>
      <c r="B1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</f>
        <v>46729</v>
      </c>
      <c r="C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TEXT(B17,"DDDD"))</f>
        <v>Wednesday</v>
      </c>
      <c r="D17" s="47">
        <v>0</v>
      </c>
      <c r="E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D17=0,0,D17*0.8),0)</f>
        <v>0</v>
      </c>
      <c r="F1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8,0)</f>
        <v>8</v>
      </c>
      <c r="G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F17*2,0)</f>
        <v>16</v>
      </c>
      <c r="H1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,"—",IF(L17="Absent","Absent",IF(E17=0,"0%",IF(E17&lt;500,"3%",IF(E17&lt;1000,"4%","5%"))))))</f>
        <v>0%</v>
      </c>
      <c r="I1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IF(E17=0,0,IF(E17&lt;500,E17*0.03,IF(E17&lt;1000,E17*0.04,E17*0.05))),0)</f>
        <v>0</v>
      </c>
      <c r="J1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G17+I17,0)</f>
        <v>16</v>
      </c>
      <c r="K1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+9,"DDDD")="Thursday"),NOT(L17="Absent")),J17*$L$3,0)</f>
        <v>928</v>
      </c>
      <c r="L17" s="49"/>
      <c r="M17" s="49"/>
    </row>
    <row r="18" spans="1:13" ht="21.75" customHeight="1" x14ac:dyDescent="0.25">
      <c r="A18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))</f>
        <v>—</v>
      </c>
      <c r="B18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</f>
        <v>46730</v>
      </c>
      <c r="C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TEXT(B18,"DDDD"))</f>
        <v>Thursday</v>
      </c>
      <c r="D18" s="39">
        <v>0</v>
      </c>
      <c r="E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D18=0,0,D18*0.8),0)</f>
        <v>0</v>
      </c>
      <c r="F18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8,0)</f>
        <v>0</v>
      </c>
      <c r="G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F18*2,0)</f>
        <v>0</v>
      </c>
      <c r="H18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,"—",IF(L18="Absent","Absent",IF(E18=0,"0%",IF(E18&lt;500,"3%",IF(E18&lt;1000,"4%","5%"))))))</f>
        <v>—</v>
      </c>
      <c r="I18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IF(E18=0,0,IF(E18&lt;500,E18*0.03,IF(E18&lt;1000,E18*0.04,E18*0.05))),0)</f>
        <v>0</v>
      </c>
      <c r="J18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G18+I18,0)</f>
        <v>0</v>
      </c>
      <c r="K18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+10,"DDDD")="Thursday"),NOT(L18="Absent")),J18*$L$3,0)</f>
        <v>0</v>
      </c>
      <c r="L18" s="43" t="s">
        <v>48</v>
      </c>
      <c r="M18" s="44"/>
    </row>
    <row r="19" spans="1:13" ht="21.75" customHeight="1" x14ac:dyDescent="0.25">
      <c r="A1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))</f>
        <v>10</v>
      </c>
      <c r="B1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</f>
        <v>46731</v>
      </c>
      <c r="C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TEXT(B19,"DDDD"))</f>
        <v>Friday</v>
      </c>
      <c r="D19" s="47">
        <v>0</v>
      </c>
      <c r="E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D19=0,0,D19*0.8),0)</f>
        <v>0</v>
      </c>
      <c r="F1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8,0)</f>
        <v>8</v>
      </c>
      <c r="G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F19*2,0)</f>
        <v>16</v>
      </c>
      <c r="H1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,"—",IF(L19="Absent","Absent",IF(E19=0,"0%",IF(E19&lt;500,"3%",IF(E19&lt;1000,"4%","5%"))))))</f>
        <v>0%</v>
      </c>
      <c r="I1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IF(E19=0,0,IF(E19&lt;500,E19*0.03,IF(E19&lt;1000,E19*0.04,E19*0.05))),0)</f>
        <v>0</v>
      </c>
      <c r="J1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G19+I19,0)</f>
        <v>16</v>
      </c>
      <c r="K1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+11,"DDDD")="Thursday"),NOT(L19="Absent")),J19*$L$3,0)</f>
        <v>928</v>
      </c>
      <c r="L19" s="49"/>
      <c r="M19" s="49"/>
    </row>
    <row r="20" spans="1:13" ht="21.75" customHeight="1" x14ac:dyDescent="0.25">
      <c r="A2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))</f>
        <v>11</v>
      </c>
      <c r="B2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</f>
        <v>46732</v>
      </c>
      <c r="C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TEXT(B20,"DDDD"))</f>
        <v>Saturday</v>
      </c>
      <c r="D20" s="32">
        <v>0</v>
      </c>
      <c r="E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D20=0,0,D20*0.8),0)</f>
        <v>0</v>
      </c>
      <c r="F2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8,0)</f>
        <v>8</v>
      </c>
      <c r="G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F20*2,0)</f>
        <v>16</v>
      </c>
      <c r="H2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,"—",IF(L20="Absent","Absent",IF(E20=0,"0%",IF(E20&lt;500,"3%",IF(E20&lt;1000,"4%","5%"))))))</f>
        <v>0%</v>
      </c>
      <c r="I2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IF(E20=0,0,IF(E20&lt;500,E20*0.03,IF(E20&lt;1000,E20*0.04,E20*0.05))),0)</f>
        <v>0</v>
      </c>
      <c r="J2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G20+I20,0)</f>
        <v>16</v>
      </c>
      <c r="K2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+12,"DDDD")="Thursday"),NOT(L20="Absent")),J20*$L$3,0)</f>
        <v>928</v>
      </c>
      <c r="L20" s="35"/>
      <c r="M20" s="35"/>
    </row>
    <row r="21" spans="1:13" ht="21.75" customHeight="1" x14ac:dyDescent="0.25">
      <c r="A2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))</f>
        <v>12</v>
      </c>
      <c r="B2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</f>
        <v>46733</v>
      </c>
      <c r="C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TEXT(B21,"DDDD"))</f>
        <v>Sunday</v>
      </c>
      <c r="D21" s="47">
        <v>0</v>
      </c>
      <c r="E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D21=0,0,D21*0.8),0)</f>
        <v>0</v>
      </c>
      <c r="F2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8,0)</f>
        <v>8</v>
      </c>
      <c r="G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F21*2,0)</f>
        <v>16</v>
      </c>
      <c r="H2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,"—",IF(L21="Absent","Absent",IF(E21=0,"0%",IF(E21&lt;500,"3%",IF(E21&lt;1000,"4%","5%"))))))</f>
        <v>0%</v>
      </c>
      <c r="I2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IF(E21=0,0,IF(E21&lt;500,E21*0.03,IF(E21&lt;1000,E21*0.04,E21*0.05))),0)</f>
        <v>0</v>
      </c>
      <c r="J2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G21+I21,0)</f>
        <v>16</v>
      </c>
      <c r="K2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+13,"DDDD")="Thursday"),NOT(L21="Absent")),J21*$L$3,0)</f>
        <v>928</v>
      </c>
      <c r="L21" s="49"/>
      <c r="M21" s="49"/>
    </row>
    <row r="22" spans="1:13" ht="21.75" customHeight="1" x14ac:dyDescent="0.25">
      <c r="A22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))</f>
        <v>13</v>
      </c>
      <c r="B22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</f>
        <v>46734</v>
      </c>
      <c r="C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TEXT(B22,"DDDD"))</f>
        <v>Monday</v>
      </c>
      <c r="D22" s="32">
        <v>0</v>
      </c>
      <c r="E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D22=0,0,D22*0.8),0)</f>
        <v>0</v>
      </c>
      <c r="F2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8,0)</f>
        <v>8</v>
      </c>
      <c r="G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F22*2,0)</f>
        <v>16</v>
      </c>
      <c r="H2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,"—",IF(L22="Absent","Absent",IF(E22=0,"0%",IF(E22&lt;500,"3%",IF(E22&lt;1000,"4%","5%"))))))</f>
        <v>0%</v>
      </c>
      <c r="I2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IF(E22=0,0,IF(E22&lt;500,E22*0.03,IF(E22&lt;1000,E22*0.04,E22*0.05))),0)</f>
        <v>0</v>
      </c>
      <c r="J2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G22+I22,0)</f>
        <v>16</v>
      </c>
      <c r="K2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+14,"DDDD")="Thursday"),NOT(L22="Absent")),J22*$L$3,0)</f>
        <v>928</v>
      </c>
      <c r="L22" s="35"/>
      <c r="M22" s="35"/>
    </row>
    <row r="23" spans="1:13" ht="21.75" customHeight="1" x14ac:dyDescent="0.25">
      <c r="A2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))</f>
        <v>14</v>
      </c>
      <c r="B2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</f>
        <v>46735</v>
      </c>
      <c r="C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TEXT(B23,"DDDD"))</f>
        <v>Tuesday</v>
      </c>
      <c r="D23" s="47">
        <v>0</v>
      </c>
      <c r="E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D23=0,0,D23*0.8),0)</f>
        <v>0</v>
      </c>
      <c r="F2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8,0)</f>
        <v>8</v>
      </c>
      <c r="G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F23*2,0)</f>
        <v>16</v>
      </c>
      <c r="H2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,"—",IF(L23="Absent","Absent",IF(E23=0,"0%",IF(E23&lt;500,"3%",IF(E23&lt;1000,"4%","5%"))))))</f>
        <v>0%</v>
      </c>
      <c r="I2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IF(E23=0,0,IF(E23&lt;500,E23*0.03,IF(E23&lt;1000,E23*0.04,E23*0.05))),0)</f>
        <v>0</v>
      </c>
      <c r="J2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G23+I23,0)</f>
        <v>16</v>
      </c>
      <c r="K2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+15,"DDDD")="Thursday"),NOT(L23="Absent")),J23*$L$3,0)</f>
        <v>928</v>
      </c>
      <c r="L23" s="49"/>
      <c r="M23" s="49"/>
    </row>
    <row r="24" spans="1:13" ht="21.75" customHeight="1" x14ac:dyDescent="0.25">
      <c r="A2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))</f>
        <v>15</v>
      </c>
      <c r="B2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</f>
        <v>46736</v>
      </c>
      <c r="C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TEXT(B24,"DDDD"))</f>
        <v>Wednesday</v>
      </c>
      <c r="D24" s="32">
        <v>0</v>
      </c>
      <c r="E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D24=0,0,D24*0.8),0)</f>
        <v>0</v>
      </c>
      <c r="F2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8,0)</f>
        <v>8</v>
      </c>
      <c r="G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F24*2,0)</f>
        <v>16</v>
      </c>
      <c r="H2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,"—",IF(L24="Absent","Absent",IF(E24=0,"0%",IF(E24&lt;500,"3%",IF(E24&lt;1000,"4%","5%"))))))</f>
        <v>0%</v>
      </c>
      <c r="I2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IF(E24=0,0,IF(E24&lt;500,E24*0.03,IF(E24&lt;1000,E24*0.04,E24*0.05))),0)</f>
        <v>0</v>
      </c>
      <c r="J2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G24+I24,0)</f>
        <v>16</v>
      </c>
      <c r="K2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+16,"DDDD")="Thursday"),NOT(L24="Absent")),J24*$L$3,0)</f>
        <v>928</v>
      </c>
      <c r="L24" s="35"/>
      <c r="M24" s="35"/>
    </row>
    <row r="25" spans="1:13" ht="21.75" customHeight="1" x14ac:dyDescent="0.25">
      <c r="A25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))</f>
        <v>—</v>
      </c>
      <c r="B25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</f>
        <v>46737</v>
      </c>
      <c r="C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TEXT(B25,"DDDD"))</f>
        <v>Thursday</v>
      </c>
      <c r="D25" s="39">
        <v>0</v>
      </c>
      <c r="E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D25=0,0,D25*0.8),0)</f>
        <v>0</v>
      </c>
      <c r="F25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8,0)</f>
        <v>0</v>
      </c>
      <c r="G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F25*2,0)</f>
        <v>0</v>
      </c>
      <c r="H25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,"—",IF(L25="Absent","Absent",IF(E25=0,"0%",IF(E25&lt;500,"3%",IF(E25&lt;1000,"4%","5%"))))))</f>
        <v>—</v>
      </c>
      <c r="I25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IF(E25=0,0,IF(E25&lt;500,E25*0.03,IF(E25&lt;1000,E25*0.04,E25*0.05))),0)</f>
        <v>0</v>
      </c>
      <c r="J25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G25+I25,0)</f>
        <v>0</v>
      </c>
      <c r="K25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+17,"DDDD")="Thursday"),NOT(L25="Absent")),J25*$L$3,0)</f>
        <v>0</v>
      </c>
      <c r="L25" s="43" t="s">
        <v>48</v>
      </c>
      <c r="M25" s="44"/>
    </row>
    <row r="26" spans="1:13" ht="21.75" customHeight="1" x14ac:dyDescent="0.25">
      <c r="A2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))</f>
        <v>17</v>
      </c>
      <c r="B2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</f>
        <v>46738</v>
      </c>
      <c r="C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TEXT(B26,"DDDD"))</f>
        <v>Friday</v>
      </c>
      <c r="D26" s="32">
        <v>0</v>
      </c>
      <c r="E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D26=0,0,D26*0.8),0)</f>
        <v>0</v>
      </c>
      <c r="F2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8,0)</f>
        <v>8</v>
      </c>
      <c r="G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F26*2,0)</f>
        <v>16</v>
      </c>
      <c r="H2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,"—",IF(L26="Absent","Absent",IF(E26=0,"0%",IF(E26&lt;500,"3%",IF(E26&lt;1000,"4%","5%"))))))</f>
        <v>0%</v>
      </c>
      <c r="I2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IF(E26=0,0,IF(E26&lt;500,E26*0.03,IF(E26&lt;1000,E26*0.04,E26*0.05))),0)</f>
        <v>0</v>
      </c>
      <c r="J2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G26+I26,0)</f>
        <v>16</v>
      </c>
      <c r="K2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+18,"DDDD")="Thursday"),NOT(L26="Absent")),J26*$L$3,0)</f>
        <v>928</v>
      </c>
      <c r="L26" s="35"/>
      <c r="M26" s="35"/>
    </row>
    <row r="27" spans="1:13" ht="21.75" customHeight="1" x14ac:dyDescent="0.25">
      <c r="A2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))</f>
        <v>18</v>
      </c>
      <c r="B2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</f>
        <v>46739</v>
      </c>
      <c r="C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TEXT(B27,"DDDD"))</f>
        <v>Saturday</v>
      </c>
      <c r="D27" s="47">
        <v>0</v>
      </c>
      <c r="E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D27=0,0,D27*0.8),0)</f>
        <v>0</v>
      </c>
      <c r="F2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8,0)</f>
        <v>8</v>
      </c>
      <c r="G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F27*2,0)</f>
        <v>16</v>
      </c>
      <c r="H2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,"—",IF(L27="Absent","Absent",IF(E27=0,"0%",IF(E27&lt;500,"3%",IF(E27&lt;1000,"4%","5%"))))))</f>
        <v>0%</v>
      </c>
      <c r="I2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IF(E27=0,0,IF(E27&lt;500,E27*0.03,IF(E27&lt;1000,E27*0.04,E27*0.05))),0)</f>
        <v>0</v>
      </c>
      <c r="J2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G27+I27,0)</f>
        <v>16</v>
      </c>
      <c r="K2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+19,"DDDD")="Thursday"),NOT(L27="Absent")),J27*$L$3,0)</f>
        <v>928</v>
      </c>
      <c r="L27" s="49"/>
      <c r="M27" s="49"/>
    </row>
    <row r="28" spans="1:13" ht="21.75" customHeight="1" x14ac:dyDescent="0.25">
      <c r="A2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))</f>
        <v>19</v>
      </c>
      <c r="B2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</f>
        <v>46740</v>
      </c>
      <c r="C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TEXT(B28,"DDDD"))</f>
        <v>Sunday</v>
      </c>
      <c r="D28" s="32">
        <v>0</v>
      </c>
      <c r="E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D28=0,0,D28*0.8),0)</f>
        <v>0</v>
      </c>
      <c r="F2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8,0)</f>
        <v>8</v>
      </c>
      <c r="G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F28*2,0)</f>
        <v>16</v>
      </c>
      <c r="H2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,"—",IF(L28="Absent","Absent",IF(E28=0,"0%",IF(E28&lt;500,"3%",IF(E28&lt;1000,"4%","5%"))))))</f>
        <v>0%</v>
      </c>
      <c r="I2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IF(E28=0,0,IF(E28&lt;500,E28*0.03,IF(E28&lt;1000,E28*0.04,E28*0.05))),0)</f>
        <v>0</v>
      </c>
      <c r="J2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G28+I28,0)</f>
        <v>16</v>
      </c>
      <c r="K2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+20,"DDDD")="Thursday"),NOT(L28="Absent")),J28*$L$3,0)</f>
        <v>928</v>
      </c>
      <c r="L28" s="35"/>
      <c r="M28" s="35"/>
    </row>
    <row r="29" spans="1:13" ht="21.75" customHeight="1" x14ac:dyDescent="0.25">
      <c r="A29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))</f>
        <v>20</v>
      </c>
      <c r="B29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</f>
        <v>46741</v>
      </c>
      <c r="C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TEXT(B29,"DDDD"))</f>
        <v>Monday</v>
      </c>
      <c r="D29" s="47">
        <v>0</v>
      </c>
      <c r="E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D29=0,0,D29*0.8),0)</f>
        <v>0</v>
      </c>
      <c r="F29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8,0)</f>
        <v>8</v>
      </c>
      <c r="G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F29*2,0)</f>
        <v>16</v>
      </c>
      <c r="H29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,"—",IF(L29="Absent","Absent",IF(E29=0,"0%",IF(E29&lt;500,"3%",IF(E29&lt;1000,"4%","5%"))))))</f>
        <v>0%</v>
      </c>
      <c r="I29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IF(E29=0,0,IF(E29&lt;500,E29*0.03,IF(E29&lt;1000,E29*0.04,E29*0.05))),0)</f>
        <v>0</v>
      </c>
      <c r="J29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G29+I29,0)</f>
        <v>16</v>
      </c>
      <c r="K29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+21,"DDDD")="Thursday"),NOT(L29="Absent")),J29*$L$3,0)</f>
        <v>928</v>
      </c>
      <c r="L29" s="49"/>
      <c r="M29" s="49"/>
    </row>
    <row r="30" spans="1:13" ht="21.75" customHeight="1" x14ac:dyDescent="0.25">
      <c r="A3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))</f>
        <v>21</v>
      </c>
      <c r="B3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</f>
        <v>46742</v>
      </c>
      <c r="C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TEXT(B30,"DDDD"))</f>
        <v>Tuesday</v>
      </c>
      <c r="D30" s="32">
        <v>0</v>
      </c>
      <c r="E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D30=0,0,D30*0.8),0)</f>
        <v>0</v>
      </c>
      <c r="F3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8,0)</f>
        <v>8</v>
      </c>
      <c r="G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F30*2,0)</f>
        <v>16</v>
      </c>
      <c r="H3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,"—",IF(L30="Absent","Absent",IF(E30=0,"0%",IF(E30&lt;500,"3%",IF(E30&lt;1000,"4%","5%"))))))</f>
        <v>0%</v>
      </c>
      <c r="I3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IF(E30=0,0,IF(E30&lt;500,E30*0.03,IF(E30&lt;1000,E30*0.04,E30*0.05))),0)</f>
        <v>0</v>
      </c>
      <c r="J3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G30+I30,0)</f>
        <v>16</v>
      </c>
      <c r="K3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+22,"DDDD")="Thursday"),NOT(L30="Absent")),J30*$L$3,0)</f>
        <v>928</v>
      </c>
      <c r="L30" s="35"/>
      <c r="M30" s="35"/>
    </row>
    <row r="31" spans="1:13" ht="21.75" customHeight="1" x14ac:dyDescent="0.25">
      <c r="A31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))</f>
        <v>22</v>
      </c>
      <c r="B31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</f>
        <v>46743</v>
      </c>
      <c r="C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TEXT(B31,"DDDD"))</f>
        <v>Wednesday</v>
      </c>
      <c r="D31" s="47">
        <v>0</v>
      </c>
      <c r="E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D31=0,0,D31*0.8),0)</f>
        <v>0</v>
      </c>
      <c r="F31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8,0)</f>
        <v>8</v>
      </c>
      <c r="G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F31*2,0)</f>
        <v>16</v>
      </c>
      <c r="H31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,"—",IF(L31="Absent","Absent",IF(E31=0,"0%",IF(E31&lt;500,"3%",IF(E31&lt;1000,"4%","5%"))))))</f>
        <v>0%</v>
      </c>
      <c r="I31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IF(E31=0,0,IF(E31&lt;500,E31*0.03,IF(E31&lt;1000,E31*0.04,E31*0.05))),0)</f>
        <v>0</v>
      </c>
      <c r="J31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G31+I31,0)</f>
        <v>16</v>
      </c>
      <c r="K31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+23,"DDDD")="Thursday"),NOT(L31="Absent")),J31*$L$3,0)</f>
        <v>928</v>
      </c>
      <c r="L31" s="49"/>
      <c r="M31" s="49"/>
    </row>
    <row r="32" spans="1:13" ht="21.75" customHeight="1" x14ac:dyDescent="0.25">
      <c r="A32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))</f>
        <v>—</v>
      </c>
      <c r="B32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</f>
        <v>46744</v>
      </c>
      <c r="C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TEXT(B32,"DDDD"))</f>
        <v>Thursday</v>
      </c>
      <c r="D32" s="39">
        <v>0</v>
      </c>
      <c r="E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D32=0,0,D32*0.8),0)</f>
        <v>0</v>
      </c>
      <c r="F32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8,0)</f>
        <v>0</v>
      </c>
      <c r="G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F32*2,0)</f>
        <v>0</v>
      </c>
      <c r="H32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,"—",IF(L32="Absent","Absent",IF(E32=0,"0%",IF(E32&lt;500,"3%",IF(E32&lt;1000,"4%","5%"))))))</f>
        <v>—</v>
      </c>
      <c r="I32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IF(E32=0,0,IF(E32&lt;500,E32*0.03,IF(E32&lt;1000,E32*0.04,E32*0.05))),0)</f>
        <v>0</v>
      </c>
      <c r="J32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G32+I32,0)</f>
        <v>0</v>
      </c>
      <c r="K32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+24,"DDDD")="Thursday"),NOT(L32="Absent")),J32*$L$3,0)</f>
        <v>0</v>
      </c>
      <c r="L32" s="43" t="s">
        <v>48</v>
      </c>
      <c r="M32" s="44"/>
    </row>
    <row r="33" spans="1:13" ht="21.75" customHeight="1" x14ac:dyDescent="0.25">
      <c r="A33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))</f>
        <v>24</v>
      </c>
      <c r="B33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</f>
        <v>46745</v>
      </c>
      <c r="C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TEXT(B33,"DDDD"))</f>
        <v>Friday</v>
      </c>
      <c r="D33" s="47">
        <v>0</v>
      </c>
      <c r="E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D33=0,0,D33*0.8),0)</f>
        <v>0</v>
      </c>
      <c r="F33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8,0)</f>
        <v>8</v>
      </c>
      <c r="G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F33*2,0)</f>
        <v>16</v>
      </c>
      <c r="H33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,"—",IF(L33="Absent","Absent",IF(E33=0,"0%",IF(E33&lt;500,"3%",IF(E33&lt;1000,"4%","5%"))))))</f>
        <v>0%</v>
      </c>
      <c r="I33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IF(E33=0,0,IF(E33&lt;500,E33*0.03,IF(E33&lt;1000,E33*0.04,E33*0.05))),0)</f>
        <v>0</v>
      </c>
      <c r="J33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G33+I33,0)</f>
        <v>16</v>
      </c>
      <c r="K33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+25,"DDDD")="Thursday"),NOT(L33="Absent")),J33*$L$3,0)</f>
        <v>928</v>
      </c>
      <c r="L33" s="49"/>
      <c r="M33" s="49"/>
    </row>
    <row r="34" spans="1:13" ht="21.75" customHeight="1" x14ac:dyDescent="0.25">
      <c r="A34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))</f>
        <v>25</v>
      </c>
      <c r="B34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</f>
        <v>46746</v>
      </c>
      <c r="C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TEXT(B34,"DDDD"))</f>
        <v>Saturday</v>
      </c>
      <c r="D34" s="32">
        <v>0</v>
      </c>
      <c r="E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D34=0,0,D34*0.8),0)</f>
        <v>0</v>
      </c>
      <c r="F34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8,0)</f>
        <v>8</v>
      </c>
      <c r="G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F34*2,0)</f>
        <v>16</v>
      </c>
      <c r="H34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,"—",IF(L34="Absent","Absent",IF(E34=0,"0%",IF(E34&lt;500,"3%",IF(E34&lt;1000,"4%","5%"))))))</f>
        <v>0%</v>
      </c>
      <c r="I34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IF(E34=0,0,IF(E34&lt;500,E34*0.03,IF(E34&lt;1000,E34*0.04,E34*0.05))),0)</f>
        <v>0</v>
      </c>
      <c r="J34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G34+I34,0)</f>
        <v>16</v>
      </c>
      <c r="K34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+26,"DDDD")="Thursday"),NOT(L34="Absent")),J34*$L$3,0)</f>
        <v>928</v>
      </c>
      <c r="L34" s="35"/>
      <c r="M34" s="35"/>
    </row>
    <row r="35" spans="1:13" ht="21.75" customHeight="1" x14ac:dyDescent="0.25">
      <c r="A35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))</f>
        <v>26</v>
      </c>
      <c r="B35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</f>
        <v>46747</v>
      </c>
      <c r="C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TEXT(B35,"DDDD"))</f>
        <v>Sunday</v>
      </c>
      <c r="D35" s="47">
        <v>0</v>
      </c>
      <c r="E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D35=0,0,D35*0.8),0)</f>
        <v>0</v>
      </c>
      <c r="F35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8,0)</f>
        <v>8</v>
      </c>
      <c r="G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F35*2,0)</f>
        <v>16</v>
      </c>
      <c r="H35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,"—",IF(L35="Absent","Absent",IF(E35=0,"0%",IF(E35&lt;500,"3%",IF(E35&lt;1000,"4%","5%"))))))</f>
        <v>0%</v>
      </c>
      <c r="I35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IF(E35=0,0,IF(E35&lt;500,E35*0.03,IF(E35&lt;1000,E35*0.04,E35*0.05))),0)</f>
        <v>0</v>
      </c>
      <c r="J35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G35+I35,0)</f>
        <v>16</v>
      </c>
      <c r="K35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+27,"DDDD")="Thursday"),NOT(L35="Absent")),J35*$L$3,0)</f>
        <v>928</v>
      </c>
      <c r="L35" s="49"/>
      <c r="M35" s="49"/>
    </row>
    <row r="36" spans="1:13" ht="21.75" customHeight="1" x14ac:dyDescent="0.25">
      <c r="A36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))</f>
        <v>27</v>
      </c>
      <c r="B36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</f>
        <v>46748</v>
      </c>
      <c r="C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TEXT(B36,"DDDD"))</f>
        <v>Monday</v>
      </c>
      <c r="D36" s="32">
        <v>0</v>
      </c>
      <c r="E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D36=0,0,D36*0.8),0)</f>
        <v>0</v>
      </c>
      <c r="F36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8,0)</f>
        <v>8</v>
      </c>
      <c r="G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F36*2,0)</f>
        <v>16</v>
      </c>
      <c r="H36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,"—",IF(L36="Absent","Absent",IF(E36=0,"0%",IF(E36&lt;500,"3%",IF(E36&lt;1000,"4%","5%"))))))</f>
        <v>0%</v>
      </c>
      <c r="I36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IF(E36=0,0,IF(E36&lt;500,E36*0.03,IF(E36&lt;1000,E36*0.04,E36*0.05))),0)</f>
        <v>0</v>
      </c>
      <c r="J36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G36+I36,0)</f>
        <v>16</v>
      </c>
      <c r="K36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+28,"DDDD")="Thursday"),NOT(L36="Absent")),J36*$L$3,0)</f>
        <v>928</v>
      </c>
      <c r="L36" s="35"/>
      <c r="M36" s="35"/>
    </row>
    <row r="37" spans="1:13" ht="21.75" customHeight="1" x14ac:dyDescent="0.25">
      <c r="A37" s="4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))</f>
        <v>28</v>
      </c>
      <c r="B37" s="45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</f>
        <v>46749</v>
      </c>
      <c r="C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TEXT(B37,"DDDD"))</f>
        <v>Tuesday</v>
      </c>
      <c r="D37" s="47">
        <v>0</v>
      </c>
      <c r="E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D37=0,0,D37*0.8),0)</f>
        <v>0</v>
      </c>
      <c r="F37" s="46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8,0)</f>
        <v>8</v>
      </c>
      <c r="G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F37*2,0)</f>
        <v>16</v>
      </c>
      <c r="H37" s="4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,"—",IF(L37="Absent","Absent",IF(E37=0,"0%",IF(E37&lt;500,"3%",IF(E37&lt;1000,"4%","5%"))))))</f>
        <v>0%</v>
      </c>
      <c r="I37" s="7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IF(E37=0,0,IF(E37&lt;500,E37*0.03,IF(E37&lt;1000,E37*0.04,E37*0.05))),0)</f>
        <v>0</v>
      </c>
      <c r="J37" s="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G37+I37,0)</f>
        <v>16</v>
      </c>
      <c r="K37" s="4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+29,"DDDD")="Thursday"),NOT(L37="Absent")),J37*$L$3,0)</f>
        <v>928</v>
      </c>
      <c r="L37" s="49"/>
      <c r="M37" s="49"/>
    </row>
    <row r="38" spans="1:13" ht="21.75" customHeight="1" x14ac:dyDescent="0.25">
      <c r="A38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))</f>
        <v>29</v>
      </c>
      <c r="B38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</f>
        <v>46750</v>
      </c>
      <c r="C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TEXT(B38,"DDDD"))</f>
        <v>Wednesday</v>
      </c>
      <c r="D38" s="32">
        <v>0</v>
      </c>
      <c r="E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D38=0,0,D38*0.8),0)</f>
        <v>0</v>
      </c>
      <c r="F38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8,0)</f>
        <v>8</v>
      </c>
      <c r="G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F38*2,0)</f>
        <v>16</v>
      </c>
      <c r="H38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,"—",IF(L38="Absent","Absent",IF(E38=0,"0%",IF(E38&lt;500,"3%",IF(E38&lt;1000,"4%","5%"))))))</f>
        <v>0%</v>
      </c>
      <c r="I38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IF(E38=0,0,IF(E38&lt;500,E38*0.03,IF(E38&lt;1000,E38*0.04,E38*0.05))),0)</f>
        <v>0</v>
      </c>
      <c r="J38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G38+I38,0)</f>
        <v>16</v>
      </c>
      <c r="K38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+30,"DDDD")="Thursday"),NOT(L38="Absent")),J38*$L$3,0)</f>
        <v>928</v>
      </c>
      <c r="L38" s="35"/>
      <c r="M38" s="35"/>
    </row>
    <row r="39" spans="1:13" ht="21.75" customHeight="1" x14ac:dyDescent="0.25">
      <c r="A39" s="36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))</f>
        <v>—</v>
      </c>
      <c r="B39" s="37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</f>
        <v>46751</v>
      </c>
      <c r="C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TEXT(B39,"DDDD"))</f>
        <v>Thursday</v>
      </c>
      <c r="D39" s="39">
        <v>0</v>
      </c>
      <c r="E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D39=0,0,D39*0.8),0)</f>
        <v>0</v>
      </c>
      <c r="F39" s="38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8,0)</f>
        <v>0</v>
      </c>
      <c r="G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F39*2,0)</f>
        <v>0</v>
      </c>
      <c r="H39" s="38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,"—",IF(L39="Absent","Absent",IF(E39=0,"0%",IF(E39&lt;500,"3%",IF(E39&lt;1000,"4%","5%"))))))</f>
        <v>—</v>
      </c>
      <c r="I39" s="40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IF(E39=0,0,IF(E39&lt;500,E39*0.03,IF(E39&lt;1000,E39*0.04,E39*0.05))),0)</f>
        <v>0</v>
      </c>
      <c r="J39" s="4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G39+I39,0)</f>
        <v>0</v>
      </c>
      <c r="K39" s="42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+31,"DDDD")="Thursday"),NOT(L39="Absent")),J39*$L$3,0)</f>
        <v>0</v>
      </c>
      <c r="L39" s="43" t="s">
        <v>48</v>
      </c>
      <c r="M39" s="44"/>
    </row>
    <row r="40" spans="1:13" ht="21.75" customHeight="1" x14ac:dyDescent="0.25">
      <c r="A40" s="11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))</f>
        <v>31</v>
      </c>
      <c r="B40" s="30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</f>
        <v>46752</v>
      </c>
      <c r="C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TEXT(B40,"DDDD"))</f>
        <v>Friday</v>
      </c>
      <c r="D40" s="32">
        <v>0</v>
      </c>
      <c r="E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D40=0,0,D40*0.8),0)</f>
        <v>0</v>
      </c>
      <c r="F40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8,0)</f>
        <v>8</v>
      </c>
      <c r="G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F40*2,0)</f>
        <v>16</v>
      </c>
      <c r="H40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,"—",IF(L40="Absent","Absent",IF(E40=0,"0%",IF(E40&lt;500,"3%",IF(E40&lt;1000,"4%","5%"))))))</f>
        <v>0%</v>
      </c>
      <c r="I40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IF(E40=0,0,IF(E40&lt;500,E40*0.03,IF(E40&lt;1000,E40*0.04,E40*0.05))),0)</f>
        <v>0</v>
      </c>
      <c r="J40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G40+I40,0)</f>
        <v>16</v>
      </c>
      <c r="K40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+32,"DDDD")="Thursday"),NOT(L40="Absent")),J40*$L$3,0)</f>
        <v>928</v>
      </c>
      <c r="L40" s="35"/>
      <c r="M40" s="35"/>
    </row>
    <row r="41" spans="1:13" ht="21.75" hidden="1" customHeight="1" x14ac:dyDescent="0.25">
      <c r="A41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))</f>
        <v/>
      </c>
      <c r="B41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</f>
        <v/>
      </c>
      <c r="C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TEXT(B41,"DDDD"))</f>
        <v/>
      </c>
      <c r="D41" s="32">
        <v>0</v>
      </c>
      <c r="E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D41=0,0,D41*0.8),0)</f>
        <v>0</v>
      </c>
      <c r="F41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8,0)</f>
        <v>0</v>
      </c>
      <c r="G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F41*2,0)</f>
        <v>0</v>
      </c>
      <c r="H41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,"—",IF(L41="Absent","Absent",IF(E41=0,"0%",IF(E41&lt;500,"3%",IF(E41&lt;1000,"4%","5%"))))))</f>
        <v/>
      </c>
      <c r="I41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IF(E41=0,0,IF(E41&lt;500,E41*0.03,IF(E41&lt;1000,E41*0.04,E41*0.05))),0)</f>
        <v>0</v>
      </c>
      <c r="J41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G41+I41,0)</f>
        <v>0</v>
      </c>
      <c r="K41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+33,"DDDD")="Thursday"),NOT(L41="Absent")),J41*$L$3,0)</f>
        <v>0</v>
      </c>
      <c r="L41" s="34"/>
      <c r="M41" s="35"/>
    </row>
    <row r="42" spans="1:13" ht="21.75" hidden="1" customHeight="1" x14ac:dyDescent="0.25">
      <c r="A42" s="1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DAY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))</f>
        <v/>
      </c>
      <c r="B42" s="30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</f>
        <v/>
      </c>
      <c r="C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TEXT(B42,"DDDD"))</f>
        <v/>
      </c>
      <c r="D42" s="32">
        <v>0</v>
      </c>
      <c r="E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D42=0,0,D42*0.8),0)</f>
        <v>0</v>
      </c>
      <c r="F42" s="31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8,0)</f>
        <v>0</v>
      </c>
      <c r="G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F42*2,0)</f>
        <v>0</v>
      </c>
      <c r="H42" s="31" t="str">
        <f>IF(NOT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),"",IF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,"—",IF(L42="Absent","Absent",IF(E42=0,"0%",IF(E42&lt;500,"3%",IF(E42&lt;1000,"4%","5%"))))))</f>
        <v/>
      </c>
      <c r="I42" s="14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IF(E42=0,0,IF(E42&lt;500,E42*0.03,IF(E42&lt;1000,E42*0.04,E42*0.05))),0)</f>
        <v>0</v>
      </c>
      <c r="J42" s="15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G42+I42,0)</f>
        <v>0</v>
      </c>
      <c r="K42" s="33">
        <f>IF(AND(MONTH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+34)=IF(C3="January",1,IF(C3="February",2,IF(C3="March",3,IF(C3="April",4,IF(C3="May",5,IF(C3="June",6,IF(C3="July",7,IF(C3="August",8,IF(C3="September",9,IF(C3="October",10,IF(C3="November",11,12))))))))))),NOT(TEXT(DATE(VALUE(D3),IF(C3="January",1,IF(C3="February",2,IF(C3="March",3,IF(C3="April",4,IF(C3="May",5,IF(C3="June",6,IF(C3="July",7,IF(C3="August",8,IF(C3="September",9,IF(C3="October",10,IF(C3="November",11,12))))))))))),1)-WEEKDAY(DATE(VALUE(D3),IF(C3="January",1,IF(C3="February",2,IF(C3="March",3,IF(C3="April",4,IF(C3="May",5,IF(C3="June",6,IF(C3="July",7,IF(C3="August",8,IF(C3="September",9,IF(C3="October",10,IF(C3="November",11,12))))))))))),1),3)+34,"DDDD")="Thursday"),NOT(L42="Absent")),J42*$L$3,0)</f>
        <v>0</v>
      </c>
      <c r="L42" s="34"/>
      <c r="M42" s="35"/>
    </row>
    <row r="43" spans="1:13" ht="24" customHeight="1" x14ac:dyDescent="0.25">
      <c r="A43" s="60" t="str">
        <f>IF(COUNTIFS(C8:C14,"&lt;&gt;")=0,"","WEEK 1  (Mon "&amp;TEXT(B8,"MMM D")&amp;" – Sun "&amp;TEXT(B14,"MMM D")&amp;")")</f>
        <v>WEEK 1  (Mon  – Sun Dec 5)</v>
      </c>
      <c r="B43" s="60"/>
      <c r="C43" s="60"/>
      <c r="D43" s="50">
        <f>SUMIFS(D8:D14,C8:C14,"&lt;&gt;Thursday",C8:C14,"&lt;&gt;",L8:L14,"&lt;&gt;Absent")</f>
        <v>0</v>
      </c>
      <c r="E43" s="50">
        <f>SUMIFS(E8:E14,C8:C14,"&lt;&gt;Thursday",C8:C14,"&lt;&gt;",L8:L14,"&lt;&gt;Absent")</f>
        <v>0</v>
      </c>
      <c r="F43" s="51"/>
      <c r="G43" s="50">
        <f>SUMIFS(G8:G14,C8:C14,"&lt;&gt;Thursday",C8:C14,"&lt;&gt;",L8:L14,"&lt;&gt;Absent")</f>
        <v>64</v>
      </c>
      <c r="H43" s="51"/>
      <c r="I43" s="50">
        <f>SUMIFS(I8:I14,C8:C14,"&lt;&gt;Thursday",C8:C14,"&lt;&gt;",L8:L14,"&lt;&gt;Absent")</f>
        <v>0</v>
      </c>
      <c r="J43" s="52">
        <f>SUMIFS(J8:J14,C8:C14,"&lt;&gt;Thursday",C8:C14,"&lt;&gt;",L8:L14,"&lt;&gt;Absent")</f>
        <v>64</v>
      </c>
      <c r="K43" s="50">
        <f>SUMIFS(K8:K14,C8:C14,"&lt;&gt;Thursday",C8:C14,"&lt;&gt;",L8:L14,"&lt;&gt;Absent")</f>
        <v>3712</v>
      </c>
      <c r="L43" s="53" t="str">
        <f>IF(COUNTIFS(C8:C14,"&lt;&gt;")=0,"",COUNTIF(L8:L14,"✓")&amp;" hits  |  "&amp;COUNTIF(L8:L14,"Absent")&amp;" absent")</f>
        <v>0 hits  |  0 absent</v>
      </c>
      <c r="M43" s="51"/>
    </row>
    <row r="44" spans="1:13" ht="24" customHeight="1" x14ac:dyDescent="0.25">
      <c r="A44" s="60" t="str">
        <f>IF(COUNTIFS(C15:C21,"&lt;&gt;")=0,"","WEEK 2  (Mon "&amp;TEXT(B15,"MMM D")&amp;" – Sun "&amp;TEXT(B21,"MMM D")&amp;")")</f>
        <v>WEEK 2  (Mon Dec 6 – Sun Dec 12)</v>
      </c>
      <c r="B44" s="60"/>
      <c r="C44" s="60"/>
      <c r="D44" s="50">
        <f>SUMIFS(D15:D21,C15:C21,"&lt;&gt;Thursday",C15:C21,"&lt;&gt;",L15:L21,"&lt;&gt;Absent")</f>
        <v>0</v>
      </c>
      <c r="E44" s="50">
        <f>SUMIFS(E15:E21,C15:C21,"&lt;&gt;Thursday",C15:C21,"&lt;&gt;",L15:L21,"&lt;&gt;Absent")</f>
        <v>0</v>
      </c>
      <c r="F44" s="51"/>
      <c r="G44" s="50">
        <f>SUMIFS(G15:G21,C15:C21,"&lt;&gt;Thursday",C15:C21,"&lt;&gt;",L15:L21,"&lt;&gt;Absent")</f>
        <v>96</v>
      </c>
      <c r="H44" s="51"/>
      <c r="I44" s="50">
        <f>SUMIFS(I15:I21,C15:C21,"&lt;&gt;Thursday",C15:C21,"&lt;&gt;",L15:L21,"&lt;&gt;Absent")</f>
        <v>0</v>
      </c>
      <c r="J44" s="52">
        <f>SUMIFS(J15:J21,C15:C21,"&lt;&gt;Thursday",C15:C21,"&lt;&gt;",L15:L21,"&lt;&gt;Absent")</f>
        <v>96</v>
      </c>
      <c r="K44" s="50">
        <f>SUMIFS(K15:K21,C15:C21,"&lt;&gt;Thursday",C15:C21,"&lt;&gt;",L15:L21,"&lt;&gt;Absent")</f>
        <v>5568</v>
      </c>
      <c r="L44" s="53" t="str">
        <f>IF(COUNTIFS(C15:C21,"&lt;&gt;")=0,"",COUNTIF(L15:L21,"✓")&amp;" hits  |  "&amp;COUNTIF(L15:L21,"Absent")&amp;" absent")</f>
        <v>0 hits  |  0 absent</v>
      </c>
      <c r="M44" s="51"/>
    </row>
    <row r="45" spans="1:13" ht="24" customHeight="1" x14ac:dyDescent="0.25">
      <c r="A45" s="60" t="str">
        <f>IF(COUNTIFS(C22:C28,"&lt;&gt;")=0,"","WEEK 3  (Mon "&amp;TEXT(B22,"MMM D")&amp;" – Sun "&amp;TEXT(B28,"MMM D")&amp;")")</f>
        <v>WEEK 3  (Mon Dec 13 – Sun Dec 19)</v>
      </c>
      <c r="B45" s="60"/>
      <c r="C45" s="60"/>
      <c r="D45" s="50">
        <f>SUMIFS(D22:D28,C22:C28,"&lt;&gt;Thursday",C22:C28,"&lt;&gt;",L22:L28,"&lt;&gt;Absent")</f>
        <v>0</v>
      </c>
      <c r="E45" s="50">
        <f>SUMIFS(E22:E28,C22:C28,"&lt;&gt;Thursday",C22:C28,"&lt;&gt;",L22:L28,"&lt;&gt;Absent")</f>
        <v>0</v>
      </c>
      <c r="F45" s="51"/>
      <c r="G45" s="50">
        <f>SUMIFS(G22:G28,C22:C28,"&lt;&gt;Thursday",C22:C28,"&lt;&gt;",L22:L28,"&lt;&gt;Absent")</f>
        <v>96</v>
      </c>
      <c r="H45" s="51"/>
      <c r="I45" s="50">
        <f>SUMIFS(I22:I28,C22:C28,"&lt;&gt;Thursday",C22:C28,"&lt;&gt;",L22:L28,"&lt;&gt;Absent")</f>
        <v>0</v>
      </c>
      <c r="J45" s="52">
        <f>SUMIFS(J22:J28,C22:C28,"&lt;&gt;Thursday",C22:C28,"&lt;&gt;",L22:L28,"&lt;&gt;Absent")</f>
        <v>96</v>
      </c>
      <c r="K45" s="50">
        <f>SUMIFS(K22:K28,C22:C28,"&lt;&gt;Thursday",C22:C28,"&lt;&gt;",L22:L28,"&lt;&gt;Absent")</f>
        <v>5568</v>
      </c>
      <c r="L45" s="53" t="str">
        <f>IF(COUNTIFS(C22:C28,"&lt;&gt;")=0,"",COUNTIF(L22:L28,"✓")&amp;" hits  |  "&amp;COUNTIF(L22:L28,"Absent")&amp;" absent")</f>
        <v>0 hits  |  0 absent</v>
      </c>
      <c r="M45" s="51"/>
    </row>
    <row r="46" spans="1:13" ht="24" customHeight="1" x14ac:dyDescent="0.25">
      <c r="A46" s="60" t="str">
        <f>IF(COUNTIFS(C29:C35,"&lt;&gt;")=0,"","WEEK 4  (Mon "&amp;TEXT(B29,"MMM D")&amp;" – Sun "&amp;TEXT(B35,"MMM D")&amp;")")</f>
        <v>WEEK 4  (Mon Dec 20 – Sun Dec 26)</v>
      </c>
      <c r="B46" s="60"/>
      <c r="C46" s="60"/>
      <c r="D46" s="50">
        <f>SUMIFS(D29:D35,C29:C35,"&lt;&gt;Thursday",C29:C35,"&lt;&gt;",L29:L35,"&lt;&gt;Absent")</f>
        <v>0</v>
      </c>
      <c r="E46" s="50">
        <f>SUMIFS(E29:E35,C29:C35,"&lt;&gt;Thursday",C29:C35,"&lt;&gt;",L29:L35,"&lt;&gt;Absent")</f>
        <v>0</v>
      </c>
      <c r="F46" s="51"/>
      <c r="G46" s="50">
        <f>SUMIFS(G29:G35,C29:C35,"&lt;&gt;Thursday",C29:C35,"&lt;&gt;",L29:L35,"&lt;&gt;Absent")</f>
        <v>96</v>
      </c>
      <c r="H46" s="51"/>
      <c r="I46" s="50">
        <f>SUMIFS(I29:I35,C29:C35,"&lt;&gt;Thursday",C29:C35,"&lt;&gt;",L29:L35,"&lt;&gt;Absent")</f>
        <v>0</v>
      </c>
      <c r="J46" s="52">
        <f>SUMIFS(J29:J35,C29:C35,"&lt;&gt;Thursday",C29:C35,"&lt;&gt;",L29:L35,"&lt;&gt;Absent")</f>
        <v>96</v>
      </c>
      <c r="K46" s="50">
        <f>SUMIFS(K29:K35,C29:C35,"&lt;&gt;Thursday",C29:C35,"&lt;&gt;",L29:L35,"&lt;&gt;Absent")</f>
        <v>5568</v>
      </c>
      <c r="L46" s="53" t="str">
        <f>IF(COUNTIFS(C29:C35,"&lt;&gt;")=0,"",COUNTIF(L29:L35,"✓")&amp;" hits  |  "&amp;COUNTIF(L29:L35,"Absent")&amp;" absent")</f>
        <v>0 hits  |  0 absent</v>
      </c>
      <c r="M46" s="51"/>
    </row>
    <row r="47" spans="1:13" ht="24" customHeight="1" x14ac:dyDescent="0.25">
      <c r="A47" s="60" t="str">
        <f>IF(COUNTIFS(C36:C42,"&lt;&gt;")=0,"","WEEK 5  (Mon "&amp;TEXT(B36,"MMM D")&amp;" – Sun "&amp;TEXT(B42,"MMM D")&amp;")")</f>
        <v>WEEK 5  (Mon Dec 27 – Sun )</v>
      </c>
      <c r="B47" s="60"/>
      <c r="C47" s="60"/>
      <c r="D47" s="50">
        <f>SUMIFS(D36:D42,C36:C42,"&lt;&gt;Thursday",C36:C42,"&lt;&gt;",L36:L42,"&lt;&gt;Absent")</f>
        <v>0</v>
      </c>
      <c r="E47" s="50">
        <f>SUMIFS(E36:E42,C36:C42,"&lt;&gt;Thursday",C36:C42,"&lt;&gt;",L36:L42,"&lt;&gt;Absent")</f>
        <v>0</v>
      </c>
      <c r="F47" s="51"/>
      <c r="G47" s="50">
        <f>SUMIFS(G36:G42,C36:C42,"&lt;&gt;Thursday",C36:C42,"&lt;&gt;",L36:L42,"&lt;&gt;Absent")</f>
        <v>64</v>
      </c>
      <c r="H47" s="51"/>
      <c r="I47" s="50">
        <f>SUMIFS(I36:I42,C36:C42,"&lt;&gt;Thursday",C36:C42,"&lt;&gt;",L36:L42,"&lt;&gt;Absent")</f>
        <v>0</v>
      </c>
      <c r="J47" s="52">
        <f>SUMIFS(J36:J42,C36:C42,"&lt;&gt;Thursday",C36:C42,"&lt;&gt;",L36:L42,"&lt;&gt;Absent")</f>
        <v>64</v>
      </c>
      <c r="K47" s="50">
        <f>SUMIFS(K36:K42,C36:C42,"&lt;&gt;Thursday",C36:C42,"&lt;&gt;",L36:L42,"&lt;&gt;Absent")</f>
        <v>3712</v>
      </c>
      <c r="L47" s="53" t="str">
        <f>IF(COUNTIFS(C36:C42,"&lt;&gt;")=0,"",COUNTIF(L36:L42,"✓")&amp;" hits  |  "&amp;COUNTIF(L36:L42,"Absent")&amp;" absent")</f>
        <v>0 hits  |  0 absent</v>
      </c>
      <c r="M47" s="51"/>
    </row>
    <row r="48" spans="1:13" ht="27.75" customHeight="1" x14ac:dyDescent="0.25">
      <c r="A48" s="59" t="str">
        <f>"MONTHLY TOTAL  —  "&amp;C3&amp;" "&amp;D3&amp;"  |  "&amp;C4</f>
        <v>MONTHLY TOTAL  —  December 2027  |  4:00 PM – 12:00 MN</v>
      </c>
      <c r="B48" s="59"/>
      <c r="C48" s="59"/>
      <c r="D48" s="54">
        <f>SUMIFS(D8:D42,C8:C42,"&lt;&gt;Thursday",C8:C42,"&lt;&gt;",L8:L42,"&lt;&gt;Absent")</f>
        <v>0</v>
      </c>
      <c r="E48" s="54">
        <f>SUMIFS(E8:E42,C8:C42,"&lt;&gt;Thursday",C8:C42,"&lt;&gt;",L8:L42,"&lt;&gt;Absent")</f>
        <v>0</v>
      </c>
      <c r="F48" s="55"/>
      <c r="G48" s="54">
        <f>SUMIFS(G8:G42,C8:C42,"&lt;&gt;Thursday",C8:C42,"&lt;&gt;",L8:L42,"&lt;&gt;Absent")</f>
        <v>416</v>
      </c>
      <c r="H48" s="55"/>
      <c r="I48" s="54">
        <f>SUMIFS(I8:I42,C8:C42,"&lt;&gt;Thursday",C8:C42,"&lt;&gt;",L8:L42,"&lt;&gt;Absent")</f>
        <v>0</v>
      </c>
      <c r="J48" s="56">
        <f>SUMIFS(J8:J42,C8:C42,"&lt;&gt;Thursday",C8:C42,"&lt;&gt;",L8:L42,"&lt;&gt;Absent")</f>
        <v>416</v>
      </c>
      <c r="K48" s="57">
        <f>SUMIFS(K8:K42,C8:C42,"&lt;&gt;Thursday",C8:C42,"&lt;&gt;",L8:L42,"&lt;&gt;Absent")</f>
        <v>24128</v>
      </c>
      <c r="L48" s="58" t="str">
        <f>COUNTIF(L8:L42,"Absent")&amp;" absences  |  "&amp;COUNTIF(L8:L42,"✓")&amp;" goals hit"</f>
        <v>0 absences  |  0 goals hit</v>
      </c>
      <c r="M48" s="55"/>
    </row>
  </sheetData>
  <mergeCells count="20">
    <mergeCell ref="A1:M1"/>
    <mergeCell ref="A2:M2"/>
    <mergeCell ref="A3:B3"/>
    <mergeCell ref="E3:G3"/>
    <mergeCell ref="H3:I3"/>
    <mergeCell ref="A4:B4"/>
    <mergeCell ref="C4:E4"/>
    <mergeCell ref="F4:M4"/>
    <mergeCell ref="A5:C5"/>
    <mergeCell ref="L5:M5"/>
    <mergeCell ref="A6:C6"/>
    <mergeCell ref="F6:G6"/>
    <mergeCell ref="J6:K6"/>
    <mergeCell ref="L6:M6"/>
    <mergeCell ref="A43:C43"/>
    <mergeCell ref="A44:C44"/>
    <mergeCell ref="A45:C45"/>
    <mergeCell ref="A46:C46"/>
    <mergeCell ref="A47:C47"/>
    <mergeCell ref="A48:C48"/>
  </mergeCells>
  <conditionalFormatting sqref="A8:M42">
    <cfRule type="expression" dxfId="5" priority="2">
      <formula>$B8=TODAY()</formula>
    </cfRule>
    <cfRule type="expression" dxfId="4" priority="3">
      <formula>$L8="Absent"</formula>
    </cfRule>
  </conditionalFormatting>
  <conditionalFormatting sqref="D8:M42">
    <cfRule type="expression" dxfId="3" priority="10">
      <formula>AND($E8&gt;=1000,$C8&lt;&gt;"",$C8&lt;&gt;"Thursday",$L8&lt;&gt;"Absent")</formula>
    </cfRule>
    <cfRule type="expression" dxfId="2" priority="11">
      <formula>AND($E8&gt;=500,$E8&lt;1000,$C8&lt;&gt;"",$C8&lt;&gt;"Thursday",$L8&lt;&gt;"Absent")</formula>
    </cfRule>
  </conditionalFormatting>
  <conditionalFormatting sqref="L8:L42">
    <cfRule type="expression" dxfId="1" priority="44">
      <formula>AND($J8&gt;=$J$3,$C8&lt;&gt;"Thursday",$C8&lt;&gt;"",$L8&lt;&gt;"Absent")</formula>
    </cfRule>
    <cfRule type="expression" dxfId="0" priority="45">
      <formula>AND($J8&lt;$J$3,$C8&lt;&gt;"Thursday",$C8&lt;&gt;"",$L8&lt;&gt;"Absent")</formula>
    </cfRule>
  </conditionalFormatting>
  <dataValidations count="4">
    <dataValidation type="list" allowBlank="1" showInputMessage="1" promptTitle="Status" prompt="Leave blank for a normal work day. Select &quot;Absent&quot; to exclude this day from salary calculations." sqref="L8:L42" xr:uid="{00000000-0002-0000-1800-000000000000}">
      <formula1>"Absent"</formula1>
      <formula2>0</formula2>
    </dataValidation>
    <dataValidation type="list" sqref="C3" xr:uid="{00000000-0002-0000-1800-000001000000}">
      <formula1>"January,February,March,April,May,June,July,August,September,October,November,December"</formula1>
      <formula2>0</formula2>
    </dataValidation>
    <dataValidation type="list" sqref="D3" xr:uid="{00000000-0002-0000-1800-000002000000}">
      <formula1>"2025,2026,2027,2028,2029,2030"</formula1>
      <formula2>0</formula2>
    </dataValidation>
    <dataValidation type="list" sqref="C4" xr:uid="{00000000-0002-0000-1800-000003000000}">
      <formula1>"12:00 MN – 8:00 AM,8:00 AM – 4:00 PM,4:00 PM – 12:00 MN"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📊 Summary</vt:lpstr>
      <vt:lpstr>Jan 2026</vt:lpstr>
      <vt:lpstr>Feb 2026</vt:lpstr>
      <vt:lpstr>Mar 2026</vt:lpstr>
      <vt:lpstr>Apr 2026</vt:lpstr>
      <vt:lpstr>May 2026</vt:lpstr>
      <vt:lpstr>Jun 2026</vt:lpstr>
      <vt:lpstr>Jul 2026</vt:lpstr>
      <vt:lpstr>Aug 2026</vt:lpstr>
      <vt:lpstr>Sep 2026</vt:lpstr>
      <vt:lpstr>Oct 2026</vt:lpstr>
      <vt:lpstr>Nov 2026</vt:lpstr>
      <vt:lpstr>Dec 2026</vt:lpstr>
      <vt:lpstr>Jan 2027</vt:lpstr>
      <vt:lpstr>Feb 2027</vt:lpstr>
      <vt:lpstr>Mar 2027</vt:lpstr>
      <vt:lpstr>Apr 2027</vt:lpstr>
      <vt:lpstr>May 2027</vt:lpstr>
      <vt:lpstr>Jun 2027</vt:lpstr>
      <vt:lpstr>Jul 2027</vt:lpstr>
      <vt:lpstr>Aug 2027</vt:lpstr>
      <vt:lpstr>Sep 2027</vt:lpstr>
      <vt:lpstr>Oct 2027</vt:lpstr>
      <vt:lpstr>Nov 2027</vt:lpstr>
      <vt:lpstr>Dec 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Euls Pogi</cp:lastModifiedBy>
  <cp:revision>0</cp:revision>
  <dcterms:created xsi:type="dcterms:W3CDTF">2026-03-23T09:35:18Z</dcterms:created>
  <dcterms:modified xsi:type="dcterms:W3CDTF">2026-03-23T17:35:22Z</dcterms:modified>
  <dc:language>en-US</dc:language>
</cp:coreProperties>
</file>